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Backlog" sheetId="2" state="visible" r:id="rId4"/>
    <sheet name="Capacidade" sheetId="3" state="visible" r:id="rId5"/>
  </sheets>
  <definedNames>
    <definedName function="false" hidden="true" localSheetId="1" name="_xlnm._FilterDatabase" vbProcedure="false">Backlog!$A$1:$L$77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<sst xmlns="http://schemas.openxmlformats.org/spreadsheetml/2006/main" count="674" uniqueCount="310">
  <si>
    <t xml:space="preserve">As Águas de Apsu — Roadmap Scrum (25/09/2026 a 04/12/2026)</t>
  </si>
  <si>
    <t xml:space="preserve">Sprints de 1 semana (sexta a quinta): planning sexta, daily 15 min, review/retro quinta. S10 fecha na sexta 04/12 com demo/release.</t>
  </si>
  <si>
    <t xml:space="preserve">Sprint</t>
  </si>
  <si>
    <t xml:space="preserve">Início</t>
  </si>
  <si>
    <t xml:space="preserve">Fim</t>
  </si>
  <si>
    <t xml:space="preserve">Objetivo (Sprint Goal)</t>
  </si>
  <si>
    <t xml:space="preserve">Nº tarefas</t>
  </si>
  <si>
    <t xml:space="preserve">Horas planejadas</t>
  </si>
  <si>
    <t xml:space="preserve">Fundação: board, convenções, baseline QA</t>
  </si>
  <si>
    <t xml:space="preserve">P1 Águas Claras — vertical slice</t>
  </si>
  <si>
    <t xml:space="preserve">P1 aceite + P2 Cavernas de Coral (início)</t>
  </si>
  <si>
    <t xml:space="preserve">P2 Cavernas de Coral — aceite</t>
  </si>
  <si>
    <t xml:space="preserve">P3 Correntes Abissais</t>
  </si>
  <si>
    <t xml:space="preserve">P3 aceite + P4 Abismo Vulcânico (início)</t>
  </si>
  <si>
    <t xml:space="preserve">P4 Abismo Vulcânico + sub-boss (Rafa reduzido dia 11/11)</t>
  </si>
  <si>
    <t xml:space="preserve">P5 Templo de Apsu — boss Kullullû</t>
  </si>
  <si>
    <t xml:space="preserve">P5 aceite + integração global, mix, bug bash</t>
  </si>
  <si>
    <t xml:space="preserve">Hardening, regressão final, release (demo 04/12)</t>
  </si>
  <si>
    <t xml:space="preserve">Total</t>
  </si>
  <si>
    <t xml:space="preserve">Papéis</t>
  </si>
  <si>
    <t xml:space="preserve">Rafa (PO)</t>
  </si>
  <si>
    <t xml:space="preserve">Product Owner; dono do core, mecânica (empuxo, movimentação, boss) e aceite</t>
  </si>
  <si>
    <t xml:space="preserve">Marcos (SM)</t>
  </si>
  <si>
    <t xml:space="preserve">Scrum Master; cerimônias, impedimentos, KanbanFlow; VFX/integração e otimização (capacidade parcial)</t>
  </si>
  <si>
    <t xml:space="preserve">Erik (QA/Áudio)</t>
  </si>
  <si>
    <t xml:space="preserve">QA de todas as fases + SFX/música/áudio</t>
  </si>
  <si>
    <t xml:space="preserve">Cawe</t>
  </si>
  <si>
    <t xml:space="preserve">Modelagem 3D: heróis (Adapa) e NPCs (Enki, guardiões, Lamassu, Oráculo)</t>
  </si>
  <si>
    <t xml:space="preserve">Wagner</t>
  </si>
  <si>
    <t xml:space="preserve">Modelagem 3D: inimigos, sub-boss e boss (Kullullû)</t>
  </si>
  <si>
    <t xml:space="preserve">Carlos Eduardo</t>
  </si>
  <si>
    <t xml:space="preserve">Modelagem 3D: elementos de cenário e cenas de cada fase (panoramas, layers, arena)</t>
  </si>
  <si>
    <t xml:space="preserve">ID</t>
  </si>
  <si>
    <t xml:space="preserve">Épico</t>
  </si>
  <si>
    <t xml:space="preserve">Tarefa</t>
  </si>
  <si>
    <t xml:space="preserve">Responsável</t>
  </si>
  <si>
    <t xml:space="preserve">Fase</t>
  </si>
  <si>
    <t xml:space="preserve">Estimativa (h)</t>
  </si>
  <si>
    <t xml:space="preserve">Prioridade</t>
  </si>
  <si>
    <t xml:space="preserve">Critério de aceite</t>
  </si>
  <si>
    <t xml:space="preserve">Cor KanbanFlow</t>
  </si>
  <si>
    <t xml:space="preserve">APSU-001</t>
  </si>
  <si>
    <t xml:space="preserve">Scrum/Gestão</t>
  </si>
  <si>
    <t xml:space="preserve">Montar board KanbanFlow (colunas Backlog/Sprint/Fazendo/Review/QA/Done, swimlanes por responsável, labels por fase)</t>
  </si>
  <si>
    <t xml:space="preserve">Geral</t>
  </si>
  <si>
    <t xml:space="preserve">Alta</t>
  </si>
  <si>
    <t xml:space="preserve">Board criado, membros convidados, cores por épico</t>
  </si>
  <si>
    <t xml:space="preserve">white</t>
  </si>
  <si>
    <t xml:space="preserve">APSU-002</t>
  </si>
  <si>
    <t xml:space="preserve">Priorizar Product Backlog a partir do README (itens PENDENTE/A DEFINIR)</t>
  </si>
  <si>
    <t xml:space="preserve">Backlog ordenado com critério de aceite por item</t>
  </si>
  <si>
    <t xml:space="preserve">APSU-003</t>
  </si>
  <si>
    <t xml:space="preserve">Mecânica</t>
  </si>
  <si>
    <t xml:space="preserve">Documentar parâmetros de empuxo/arrasto/velocidade do core e tour do código (GameContext, model, core) para o time</t>
  </si>
  <si>
    <t xml:space="preserve">Doc curto + sessão de 1h gravada</t>
  </si>
  <si>
    <t xml:space="preserve">blue</t>
  </si>
  <si>
    <t xml:space="preserve">APSU-004</t>
  </si>
  <si>
    <t xml:space="preserve">Definir cerimônias (planning sexta, daily 15min, review/retro quinta), DoR e DoD</t>
  </si>
  <si>
    <t xml:space="preserve">DoR/DoD publicadas no board</t>
  </si>
  <si>
    <t xml:space="preserve">APSU-005</t>
  </si>
  <si>
    <t xml:space="preserve">Garantir ambiente de todos (Java 21, Maven, make, Blender, FFmpeg) e fluxo de PR/CODEOWNERS</t>
  </si>
  <si>
    <t xml:space="preserve">6/6 rodando make e make test</t>
  </si>
  <si>
    <t xml:space="preserve">APSU-006</t>
  </si>
  <si>
    <t xml:space="preserve">QA</t>
  </si>
  <si>
    <t xml:space="preserve">Baseline QA: jogar P1–P5, registrar bugs/severidade com template padrão</t>
  </si>
  <si>
    <t xml:space="preserve">P1–P5</t>
  </si>
  <si>
    <t xml:space="preserve">Planilha de bugs com evidência e commit</t>
  </si>
  <si>
    <t xml:space="preserve">yellow</t>
  </si>
  <si>
    <t xml:space="preserve">APSU-007</t>
  </si>
  <si>
    <t xml:space="preserve">Áudio</t>
  </si>
  <si>
    <t xml:space="preserve">Auditar AudioCue/EventBus e mapear cues faltantes por fase</t>
  </si>
  <si>
    <t xml:space="preserve">Média</t>
  </si>
  <si>
    <t xml:space="preserve">Mapa de eventos com produtor/consumidor/prioridade</t>
  </si>
  <si>
    <t xml:space="preserve">cyan</t>
  </si>
  <si>
    <t xml:space="preserve">APSU-008</t>
  </si>
  <si>
    <t xml:space="preserve">Heróis/NPCs</t>
  </si>
  <si>
    <t xml:space="preserve">Convenções 3D: escala, pivô, eixo frontal, export OBJ/MTL, nomenclatura fase+função+estado; auditar Adapa base (polígonos/materiais)</t>
  </si>
  <si>
    <t xml:space="preserve">Guia de 1 página + relatório do Adapa</t>
  </si>
  <si>
    <t xml:space="preserve">green</t>
  </si>
  <si>
    <t xml:space="preserve">APSU-009</t>
  </si>
  <si>
    <t xml:space="preserve">Inimigos/Boss</t>
  </si>
  <si>
    <t xml:space="preserve">Auditar inimigos comuns (escala, orientação, materiais, polígonos)</t>
  </si>
  <si>
    <t xml:space="preserve">P1–P3</t>
  </si>
  <si>
    <t xml:space="preserve">Tabela por modelo com problemas</t>
  </si>
  <si>
    <t xml:space="preserve">red</t>
  </si>
  <si>
    <t xml:space="preserve">APSU-010</t>
  </si>
  <si>
    <t xml:space="preserve">Cenário/Cena</t>
  </si>
  <si>
    <t xml:space="preserve">Auditar panoramas e props; listar camadas midground/foreground por fase</t>
  </si>
  <si>
    <t xml:space="preserve">Lista de camadas por fase aprovada pelo PO</t>
  </si>
  <si>
    <t xml:space="preserve">orange</t>
  </si>
  <si>
    <t xml:space="preserve">APSU-011</t>
  </si>
  <si>
    <t xml:space="preserve">Tuning de nado P1: empuxo, arrasto quadrático, inclinação ±20°</t>
  </si>
  <si>
    <t xml:space="preserve">P1</t>
  </si>
  <si>
    <t xml:space="preserve">Controle estável, sem tremor</t>
  </si>
  <si>
    <t xml:space="preserve">APSU-012</t>
  </si>
  <si>
    <t xml:space="preserve">Feel do ataque de bolha (cadência, alcance, hit)</t>
  </si>
  <si>
    <t xml:space="preserve">Aprovado em playtest do time</t>
  </si>
  <si>
    <t xml:space="preserve">APSU-013</t>
  </si>
  <si>
    <t xml:space="preserve">Adapa: ciclo de nado em loop</t>
  </si>
  <si>
    <t xml:space="preserve">Loop visível no runtime sem salto de escala</t>
  </si>
  <si>
    <t xml:space="preserve">APSU-014</t>
  </si>
  <si>
    <t xml:space="preserve">Guardião Atlante: refino de modelo/textura e escala</t>
  </si>
  <si>
    <t xml:space="preserve">Escala correta no encontro</t>
  </si>
  <si>
    <t xml:space="preserve">APSU-015</t>
  </si>
  <si>
    <t xml:space="preserve">Peixe sombrio e enguia: ciclo de movimento e escala</t>
  </si>
  <si>
    <t xml:space="preserve">Animados e com colisão coerente</t>
  </si>
  <si>
    <t xml:space="preserve">APSU-016</t>
  </si>
  <si>
    <t xml:space="preserve">Ruínas e naufrágio P1 (midground/foreground)</t>
  </si>
  <si>
    <t xml:space="preserve">Não cobrem Adapa; 60/30/10 respeitado</t>
  </si>
  <si>
    <t xml:space="preserve">APSU-017</t>
  </si>
  <si>
    <t xml:space="preserve">VFX/Integração</t>
  </si>
  <si>
    <t xml:space="preserve">Gêiser P1: modelo + telegraph visual + integração Runtime3DLayer</t>
  </si>
  <si>
    <t xml:space="preserve">Telegraph legível antes do impulso</t>
  </si>
  <si>
    <t xml:space="preserve">purple</t>
  </si>
  <si>
    <t xml:space="preserve">APSU-018</t>
  </si>
  <si>
    <t xml:space="preserve">SFX combate P1 e stinger de tabuleta</t>
  </si>
  <si>
    <t xml:space="preserve">Cues via AudioCue, sem WAV no core</t>
  </si>
  <si>
    <t xml:space="preserve">APSU-019</t>
  </si>
  <si>
    <t xml:space="preserve">Casos de teste P1 (rota, colisão, dano, diálogo, transição)</t>
  </si>
  <si>
    <t xml:space="preserve">Checklist executável</t>
  </si>
  <si>
    <t xml:space="preserve">APSU-020</t>
  </si>
  <si>
    <t xml:space="preserve">Feedback de dano e invulnerabilidade; design da colisão dos corais P2</t>
  </si>
  <si>
    <t xml:space="preserve">P1/P2</t>
  </si>
  <si>
    <t xml:space="preserve">Sem dano duplo; design aprovado</t>
  </si>
  <si>
    <t xml:space="preserve">APSU-021</t>
  </si>
  <si>
    <t xml:space="preserve">Adapa: poses de ataque, dano e morte</t>
  </si>
  <si>
    <t xml:space="preserve">Estados trocam sem salto de posição</t>
  </si>
  <si>
    <t xml:space="preserve">APSU-022</t>
  </si>
  <si>
    <t xml:space="preserve">Medusa e caranguejo: ciclos; modelo do golfinho abissal</t>
  </si>
  <si>
    <t xml:space="preserve">Ciclos integrados; golfinho importa sem erro</t>
  </si>
  <si>
    <t xml:space="preserve">APSU-023</t>
  </si>
  <si>
    <t xml:space="preserve">Recife modular e cardume (P2)</t>
  </si>
  <si>
    <t xml:space="preserve">P2</t>
  </si>
  <si>
    <t xml:space="preserve">Modular, leve, sem mistura de materiais</t>
  </si>
  <si>
    <t xml:space="preserve">APSU-024</t>
  </si>
  <si>
    <t xml:space="preserve">Baú: modelo e animação de abertura</t>
  </si>
  <si>
    <t xml:space="preserve">Abre uma vez</t>
  </si>
  <si>
    <t xml:space="preserve">APSU-025</t>
  </si>
  <si>
    <t xml:space="preserve">Aceite P1 (regressão completa)</t>
  </si>
  <si>
    <t xml:space="preserve">P1 aprovada ou bugs triados</t>
  </si>
  <si>
    <t xml:space="preserve">APSU-026</t>
  </si>
  <si>
    <t xml:space="preserve">SFX de transição de fase e baú/bolha</t>
  </si>
  <si>
    <t xml:space="preserve">Eventos CHEST_OPENED/LEVEL_TRANSITION mapeados</t>
  </si>
  <si>
    <t xml:space="preserve">APSU-027</t>
  </si>
  <si>
    <t xml:space="preserve">Corais: colisão dos 6 pares sem aprisionamento; baú libera ataque</t>
  </si>
  <si>
    <t xml:space="preserve">Rota completa repetível</t>
  </si>
  <si>
    <t xml:space="preserve">APSU-028</t>
  </si>
  <si>
    <t xml:space="preserve">Guardião de coral e Enki (estados idle/fala)</t>
  </si>
  <si>
    <t xml:space="preserve">Estados visíveis no diálogo</t>
  </si>
  <si>
    <t xml:space="preserve">APSU-029</t>
  </si>
  <si>
    <t xml:space="preserve">Golfinho abissal: ciclo; ajustes de enguia/caranguejo P2</t>
  </si>
  <si>
    <t xml:space="preserve">Ciclo integrado</t>
  </si>
  <si>
    <t xml:space="preserve">APSU-030</t>
  </si>
  <si>
    <t xml:space="preserve">Naufrágio P2, coral leve de colisão (6 pares), layers da cena</t>
  </si>
  <si>
    <t xml:space="preserve">Coral leve substitui recife pesado</t>
  </si>
  <si>
    <t xml:space="preserve">APSU-031</t>
  </si>
  <si>
    <t xml:space="preserve">VFX de bolhas, coleta e hit</t>
  </si>
  <si>
    <t xml:space="preserve">Legíveis sem cobrir HUD</t>
  </si>
  <si>
    <t xml:space="preserve">APSU-032</t>
  </si>
  <si>
    <t xml:space="preserve">SFX fauna/coral e ambiência P2</t>
  </si>
  <si>
    <t xml:space="preserve">Cues revisados</t>
  </si>
  <si>
    <t xml:space="preserve">APSU-033</t>
  </si>
  <si>
    <t xml:space="preserve">Aceite P2</t>
  </si>
  <si>
    <t xml:space="preserve">Baú abre 1x, tabuleta e transição OK</t>
  </si>
  <si>
    <t xml:space="preserve">APSU-034</t>
  </si>
  <si>
    <t xml:space="preserve">Correntes (força/direção), recuperação de controle, zona de pressão, obstáculos móveis</t>
  </si>
  <si>
    <t xml:space="preserve">P3</t>
  </si>
  <si>
    <t xml:space="preserve">Força compreensível, controle recuperável</t>
  </si>
  <si>
    <t xml:space="preserve">APSU-035</t>
  </si>
  <si>
    <t xml:space="preserve">Lamassu (modelo/textura); nado sob corrente</t>
  </si>
  <si>
    <t xml:space="preserve">Lamassu integrado no encontro</t>
  </si>
  <si>
    <t xml:space="preserve">APSU-036</t>
  </si>
  <si>
    <t xml:space="preserve">Ajustes de peixe/golfinho/inimigos P3 e ciclos</t>
  </si>
  <si>
    <t xml:space="preserve">Sem regressão de escala</t>
  </si>
  <si>
    <t xml:space="preserve">APSU-037</t>
  </si>
  <si>
    <t xml:space="preserve">Indicadores visuais de corrente, obstáculos móveis, layers P3</t>
  </si>
  <si>
    <t xml:space="preserve">Orientação da corrente legível</t>
  </si>
  <si>
    <t xml:space="preserve">APSU-038</t>
  </si>
  <si>
    <t xml:space="preserve">VFX da zona de pressão</t>
  </si>
  <si>
    <t xml:space="preserve">Distinguível do fundo</t>
  </si>
  <si>
    <t xml:space="preserve">APSU-039</t>
  </si>
  <si>
    <t xml:space="preserve">SFX corrente/pressão/obstáculo</t>
  </si>
  <si>
    <t xml:space="preserve">Cues dedicados</t>
  </si>
  <si>
    <t xml:space="preserve">APSU-040</t>
  </si>
  <si>
    <t xml:space="preserve">Aceite P3 e definir orçamento de FPS e hardware de referência</t>
  </si>
  <si>
    <t xml:space="preserve">Orçamento registrado no README</t>
  </si>
  <si>
    <t xml:space="preserve">APSU-041</t>
  </si>
  <si>
    <t xml:space="preserve">Gêiser: ciclo, impulso e telegraph lógico; dano por contato da lava</t>
  </si>
  <si>
    <t xml:space="preserve">P3/P4</t>
  </si>
  <si>
    <t xml:space="preserve">Área de dano = visual</t>
  </si>
  <si>
    <t xml:space="preserve">APSU-042</t>
  </si>
  <si>
    <t xml:space="preserve">Oráculo (modelo, textura, estados)</t>
  </si>
  <si>
    <t xml:space="preserve">P4</t>
  </si>
  <si>
    <t xml:space="preserve">Integrado no encontro</t>
  </si>
  <si>
    <t xml:space="preserve">APSU-043</t>
  </si>
  <si>
    <t xml:space="preserve">Arraia e polvo abissal: modelos e ciclos</t>
  </si>
  <si>
    <t xml:space="preserve">Ambos no runtime</t>
  </si>
  <si>
    <t xml:space="preserve">APSU-044</t>
  </si>
  <si>
    <t xml:space="preserve">Lava, rochas vulcânicas, fundo e layers P4</t>
  </si>
  <si>
    <t xml:space="preserve">Contraste do hazard aprovado</t>
  </si>
  <si>
    <t xml:space="preserve">APSU-045</t>
  </si>
  <si>
    <t xml:space="preserve">VFX gêiser e lava</t>
  </si>
  <si>
    <t xml:space="preserve">Telegraph claro</t>
  </si>
  <si>
    <t xml:space="preserve">APSU-046</t>
  </si>
  <si>
    <t xml:space="preserve">SFX gêiser/lava e identidade hidrotermal</t>
  </si>
  <si>
    <t xml:space="preserve">APSU-047</t>
  </si>
  <si>
    <t xml:space="preserve">Aceite P3 e profiling baseline (CPU/GC/frame pacing)</t>
  </si>
  <si>
    <t xml:space="preserve">Relatório de performance</t>
  </si>
  <si>
    <t xml:space="preserve">APSU-048</t>
  </si>
  <si>
    <t xml:space="preserve">Leviatã Menor: padrões do sub-boss (capacidade reduzida do PO)</t>
  </si>
  <si>
    <t xml:space="preserve">Padrão legível e derrotável</t>
  </si>
  <si>
    <t xml:space="preserve">APSU-049</t>
  </si>
  <si>
    <t xml:space="preserve">Oráculo estados finais; knockback/hit de Adapa</t>
  </si>
  <si>
    <t xml:space="preserve">Sem salto de estado</t>
  </si>
  <si>
    <t xml:space="preserve">APSU-050</t>
  </si>
  <si>
    <t xml:space="preserve">Leviatã Menor (modelo, escala, telegraph); ciclo do polvo</t>
  </si>
  <si>
    <t xml:space="preserve">Não esconde Adapa</t>
  </si>
  <si>
    <t xml:space="preserve">APSU-051</t>
  </si>
  <si>
    <t xml:space="preserve">Composição e contraste da cena P4 (60/30/10)</t>
  </si>
  <si>
    <t xml:space="preserve">Silhuetas e hazards legíveis</t>
  </si>
  <si>
    <t xml:space="preserve">APSU-052</t>
  </si>
  <si>
    <t xml:space="preserve">Telegraph VFX dos hazards e sub-boss</t>
  </si>
  <si>
    <t xml:space="preserve">Aprovado em playtest</t>
  </si>
  <si>
    <t xml:space="preserve">APSU-053</t>
  </si>
  <si>
    <t xml:space="preserve">SFX Leviatã/polvo e pausa musical pré-sub-boss</t>
  </si>
  <si>
    <t xml:space="preserve">Cues integrados</t>
  </si>
  <si>
    <t xml:space="preserve">APSU-054</t>
  </si>
  <si>
    <t xml:space="preserve">Aceite P4</t>
  </si>
  <si>
    <t xml:space="preserve">Dano coerente, tabuleta e transição OK</t>
  </si>
  <si>
    <t xml:space="preserve">APSU-055</t>
  </si>
  <si>
    <t xml:space="preserve">Cobrir refinamento de backlog e review no dia 11/11 (PO ausente)</t>
  </si>
  <si>
    <t xml:space="preserve">Backlog S8 pronto até 12/11</t>
  </si>
  <si>
    <t xml:space="preserve">APSU-056</t>
  </si>
  <si>
    <t xml:space="preserve">Kullullû: fases, padrões, stagger, reset de estado em partida nova</t>
  </si>
  <si>
    <t xml:space="preserve">P5</t>
  </si>
  <si>
    <t xml:space="preserve">Boss só em P5, derrotável</t>
  </si>
  <si>
    <t xml:space="preserve">APSU-057</t>
  </si>
  <si>
    <t xml:space="preserve">Enki estados P5; poses finais de Adapa</t>
  </si>
  <si>
    <t xml:space="preserve">Diálogo com estados</t>
  </si>
  <si>
    <t xml:space="preserve">APSU-058</t>
  </si>
  <si>
    <t xml:space="preserve">Kullullû + variantes (dificuldade difícil); lula vampira</t>
  </si>
  <si>
    <t xml:space="preserve">Variantes carregam, escala ok</t>
  </si>
  <si>
    <t xml:space="preserve">APSU-059</t>
  </si>
  <si>
    <t xml:space="preserve">Arena P5: ruínas/portal e foreground sem cobrir boss</t>
  </si>
  <si>
    <t xml:space="preserve">Boss e Adapa sempre visíveis</t>
  </si>
  <si>
    <t xml:space="preserve">APSU-060</t>
  </si>
  <si>
    <t xml:space="preserve">VFX de ataque, dano e morte do boss</t>
  </si>
  <si>
    <t xml:space="preserve">Legíveis</t>
  </si>
  <si>
    <t xml:space="preserve">APSU-061</t>
  </si>
  <si>
    <t xml:space="preserve">SFX boss: intro, telegraph, stagger, morte; stinger de vitória</t>
  </si>
  <si>
    <t xml:space="preserve">Eventos BOSS_* consumidos</t>
  </si>
  <si>
    <t xml:space="preserve">APSU-062</t>
  </si>
  <si>
    <t xml:space="preserve">QA do boss (padrões, feedback, performance)</t>
  </si>
  <si>
    <t xml:space="preserve">Bugs triados</t>
  </si>
  <si>
    <t xml:space="preserve">APSU-063</t>
  </si>
  <si>
    <t xml:space="preserve">Transição para epílogo/vitória; balanceamento normal vs difícil</t>
  </si>
  <si>
    <t xml:space="preserve">Partida repetível pós-reset</t>
  </si>
  <si>
    <t xml:space="preserve">APSU-064</t>
  </si>
  <si>
    <t xml:space="preserve">Cena de epílogo (escopo a definir com PO) e polish de animações</t>
  </si>
  <si>
    <t xml:space="preserve">Escopo fechado até S9</t>
  </si>
  <si>
    <t xml:space="preserve">APSU-065</t>
  </si>
  <si>
    <t xml:space="preserve">Polish: ataque/hit/morte de todos os inimigos</t>
  </si>
  <si>
    <t xml:space="preserve">Sem popping de escala</t>
  </si>
  <si>
    <t xml:space="preserve">APSU-066</t>
  </si>
  <si>
    <t xml:space="preserve">Revisão de escala e composição em todas as fases</t>
  </si>
  <si>
    <t xml:space="preserve">Checklist de câmera/HUD aprovado</t>
  </si>
  <si>
    <t xml:space="preserve">APSU-067</t>
  </si>
  <si>
    <t xml:space="preserve">Otimização de malhas (polígonos/materiais) e cache</t>
  </si>
  <si>
    <t xml:space="preserve">Ganho medido vs baseline</t>
  </si>
  <si>
    <t xml:space="preserve">APSU-068</t>
  </si>
  <si>
    <t xml:space="preserve">Mix global, clipping, loops e retorno de música</t>
  </si>
  <si>
    <t xml:space="preserve">Critério de mix registrado</t>
  </si>
  <si>
    <t xml:space="preserve">APSU-069</t>
  </si>
  <si>
    <t xml:space="preserve">Bug bash + regressão P1–P5 (normal e difícil)</t>
  </si>
  <si>
    <t xml:space="preserve">Lista de bugs com severidade</t>
  </si>
  <si>
    <t xml:space="preserve">APSU-070</t>
  </si>
  <si>
    <t xml:space="preserve">Correção de bugs críticos/altos; decisão de corte de escopo</t>
  </si>
  <si>
    <t xml:space="preserve">Zero crítico/alto sem decisão</t>
  </si>
  <si>
    <t xml:space="preserve">APSU-071</t>
  </si>
  <si>
    <t xml:space="preserve">Bugfix de assets + atualizar matrizes do README</t>
  </si>
  <si>
    <t xml:space="preserve">Matrizes atualizadas</t>
  </si>
  <si>
    <t xml:space="preserve">APSU-072</t>
  </si>
  <si>
    <t xml:space="preserve">Bugfix de inimigos/boss + créditos de assets</t>
  </si>
  <si>
    <t xml:space="preserve">Créditos em SOURCES.md</t>
  </si>
  <si>
    <t xml:space="preserve">APSU-073</t>
  </si>
  <si>
    <t xml:space="preserve">Bugfix de cenas/panoramas + capturas finais</t>
  </si>
  <si>
    <t xml:space="preserve">Capturas anexadas</t>
  </si>
  <si>
    <t xml:space="preserve">APSU-074</t>
  </si>
  <si>
    <t xml:space="preserve">Build de release (make, Docker), tag, retro final</t>
  </si>
  <si>
    <t xml:space="preserve">Release tagueada e reproduzível</t>
  </si>
  <si>
    <t xml:space="preserve">APSU-075</t>
  </si>
  <si>
    <t xml:space="preserve">Créditos/licenças de áudio e verificação final de cues</t>
  </si>
  <si>
    <t xml:space="preserve">SOURCES.md completo</t>
  </si>
  <si>
    <t xml:space="preserve">APSU-076</t>
  </si>
  <si>
    <t xml:space="preserve">Regressão final e assinatura do checklist de QA do README</t>
  </si>
  <si>
    <t xml:space="preserve">Checklist assinado; demo 04/12</t>
  </si>
  <si>
    <t xml:space="preserve">Carga planejada (h) por responsável e sprint vs capacidade semanal</t>
  </si>
  <si>
    <t xml:space="preserve">Capacidade semanal é PREMISSA minha (células azuis) — ajuste conforme a disponibilidade real de cada um.</t>
  </si>
  <si>
    <t xml:space="preserve">Cap. semanal (h)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</si>
  <si>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</si>
  <si>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</si>
  <si>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</si>
  <si>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</si>
  <si>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</si>
  <si>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</si>
  <si>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</si>
  <si>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</si>
  <si>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</si>
  <si>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</si>
  <si>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Laranja = carga acima da capacidade semanal (rebalancear no planning).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</si>
</sst>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n">
        <v>46290</v>
      </c>
      <c r="C5" s="5" t="n">
        <v>46296</v>
      </c>
      <c r="D5" s="4" t="s">
        <v>8</v>
      </c>
      <c r="E5" s="4" t="n">
        <f aca="false">COUNTIF(Backlog!$A:$A,A5)</f>
        <v>10</v>
      </c>
      <c r="F5" s="4" t="n">
        <f aca="false">SUMIFS(Backlog!$I:$I,Backlog!$A:$A,A5)</f>
        <v>46</v>
      </c>
    </row>
    <row r="6" customFormat="false" ht="15" hidden="false" customHeight="false" outlineLevel="0" collapsed="false">
      <c r="A6" s="4" t="n">
        <v>2</v>
      </c>
      <c r="B6" s="5" t="n">
        <v>46297</v>
      </c>
      <c r="C6" s="5" t="n">
        <v>46303</v>
      </c>
      <c r="D6" s="4" t="s">
        <v>9</v>
      </c>
      <c r="E6" s="4" t="n">
        <f aca="false">COUNTIF(Backlog!$A:$A,A6)</f>
        <v>9</v>
      </c>
      <c r="F6" s="4" t="n">
        <f aca="false">SUMIFS(Backlog!$I:$I,Backlog!$A:$A,A6)</f>
        <v>54</v>
      </c>
    </row>
    <row r="7" customFormat="false" ht="15" hidden="false" customHeight="false" outlineLevel="0" collapsed="false">
      <c r="A7" s="4" t="n">
        <v>3</v>
      </c>
      <c r="B7" s="5" t="n">
        <v>46304</v>
      </c>
      <c r="C7" s="5" t="n">
        <v>46310</v>
      </c>
      <c r="D7" s="4" t="s">
        <v>10</v>
      </c>
      <c r="E7" s="4" t="n">
        <f aca="false">COUNTIF(Backlog!$A:$A,A7)</f>
        <v>7</v>
      </c>
      <c r="F7" s="4" t="n">
        <f aca="false">SUMIFS(Backlog!$I:$I,Backlog!$A:$A,A7)</f>
        <v>51</v>
      </c>
    </row>
    <row r="8" customFormat="false" ht="15" hidden="false" customHeight="false" outlineLevel="0" collapsed="false">
      <c r="A8" s="4" t="n">
        <v>4</v>
      </c>
      <c r="B8" s="5" t="n">
        <v>46311</v>
      </c>
      <c r="C8" s="5" t="n">
        <v>46317</v>
      </c>
      <c r="D8" s="4" t="s">
        <v>11</v>
      </c>
      <c r="E8" s="4" t="n">
        <f aca="false">COUNTIF(Backlog!$A:$A,A8)</f>
        <v>7</v>
      </c>
      <c r="F8" s="4" t="n">
        <f aca="false">SUMIFS(Backlog!$I:$I,Backlog!$A:$A,A8)</f>
        <v>50</v>
      </c>
    </row>
    <row r="9" customFormat="false" ht="15" hidden="false" customHeight="false" outlineLevel="0" collapsed="false">
      <c r="A9" s="4" t="n">
        <v>5</v>
      </c>
      <c r="B9" s="5" t="n">
        <v>46318</v>
      </c>
      <c r="C9" s="5" t="n">
        <v>46324</v>
      </c>
      <c r="D9" s="4" t="s">
        <v>12</v>
      </c>
      <c r="E9" s="4" t="n">
        <f aca="false">COUNTIF(Backlog!$A:$A,A9)</f>
        <v>7</v>
      </c>
      <c r="F9" s="4" t="n">
        <f aca="false">SUMIFS(Backlog!$I:$I,Backlog!$A:$A,A9)</f>
        <v>55</v>
      </c>
    </row>
    <row r="10" customFormat="false" ht="15" hidden="false" customHeight="false" outlineLevel="0" collapsed="false">
      <c r="A10" s="4" t="n">
        <v>6</v>
      </c>
      <c r="B10" s="5" t="n">
        <v>46325</v>
      </c>
      <c r="C10" s="5" t="n">
        <v>46331</v>
      </c>
      <c r="D10" s="4" t="s">
        <v>13</v>
      </c>
      <c r="E10" s="4" t="n">
        <f aca="false">COUNTIF(Backlog!$A:$A,A10)</f>
        <v>7</v>
      </c>
      <c r="F10" s="4" t="n">
        <f aca="false">SUMIFS(Backlog!$I:$I,Backlog!$A:$A,A10)</f>
        <v>56</v>
      </c>
    </row>
    <row r="11" customFormat="false" ht="15" hidden="false" customHeight="false" outlineLevel="0" collapsed="false">
      <c r="A11" s="4" t="n">
        <v>7</v>
      </c>
      <c r="B11" s="5" t="n">
        <v>46332</v>
      </c>
      <c r="C11" s="5" t="n">
        <v>46338</v>
      </c>
      <c r="D11" s="4" t="s">
        <v>14</v>
      </c>
      <c r="E11" s="4" t="n">
        <f aca="false">COUNTIF(Backlog!$A:$A,A11)</f>
        <v>8</v>
      </c>
      <c r="F11" s="4" t="n">
        <f aca="false">SUMIFS(Backlog!$I:$I,Backlog!$A:$A,A11)</f>
        <v>54</v>
      </c>
    </row>
    <row r="12" customFormat="false" ht="15" hidden="false" customHeight="false" outlineLevel="0" collapsed="false">
      <c r="A12" s="4" t="n">
        <v>8</v>
      </c>
      <c r="B12" s="5" t="n">
        <v>46339</v>
      </c>
      <c r="C12" s="5" t="n">
        <v>46345</v>
      </c>
      <c r="D12" s="4" t="s">
        <v>15</v>
      </c>
      <c r="E12" s="4" t="n">
        <f aca="false">COUNTIF(Backlog!$A:$A,A12)</f>
        <v>7</v>
      </c>
      <c r="F12" s="4" t="n">
        <f aca="false">SUMIFS(Backlog!$I:$I,Backlog!$A:$A,A12)</f>
        <v>63</v>
      </c>
    </row>
    <row r="13" customFormat="false" ht="15" hidden="false" customHeight="false" outlineLevel="0" collapsed="false">
      <c r="A13" s="4" t="n">
        <v>9</v>
      </c>
      <c r="B13" s="5" t="n">
        <v>46346</v>
      </c>
      <c r="C13" s="5" t="n">
        <v>46352</v>
      </c>
      <c r="D13" s="4" t="s">
        <v>16</v>
      </c>
      <c r="E13" s="4" t="n">
        <f aca="false">COUNTIF(Backlog!$A:$A,A13)</f>
        <v>7</v>
      </c>
      <c r="F13" s="4" t="n">
        <f aca="false">SUMIFS(Backlog!$I:$I,Backlog!$A:$A,A13)</f>
        <v>60</v>
      </c>
    </row>
    <row r="14" customFormat="false" ht="15" hidden="false" customHeight="false" outlineLevel="0" collapsed="false">
      <c r="A14" s="4" t="n">
        <v>10</v>
      </c>
      <c r="B14" s="5" t="n">
        <v>46353</v>
      </c>
      <c r="C14" s="5" t="n">
        <v>46360</v>
      </c>
      <c r="D14" s="4" t="s">
        <v>17</v>
      </c>
      <c r="E14" s="4" t="n">
        <f aca="false">COUNTIF(Backlog!$A:$A,A14)</f>
        <v>7</v>
      </c>
      <c r="F14" s="4" t="n">
        <f aca="false">SUMIFS(Backlog!$I:$I,Backlog!$A:$A,A14)</f>
        <v>48</v>
      </c>
    </row>
    <row r="15" customFormat="false" ht="15" hidden="false" customHeight="false" outlineLevel="0" collapsed="false">
      <c r="D15" s="6" t="s">
        <v>18</v>
      </c>
      <c r="E15" s="6" t="n">
        <f aca="false">SUM(E5:E14)</f>
        <v>76</v>
      </c>
      <c r="F15" s="6" t="n">
        <f aca="false">SUM(F5:F14)</f>
        <v>537</v>
      </c>
    </row>
    <row r="17" customFormat="false" ht="15" hidden="false" customHeight="false" outlineLevel="0" collapsed="false">
      <c r="A17" s="6" t="s">
        <v>19</v>
      </c>
    </row>
    <row r="18" customFormat="false" ht="23.85" hidden="false" customHeight="false" outlineLevel="0" collapsed="false">
      <c r="A18" s="4" t="s">
        <v>20</v>
      </c>
      <c r="B18" s="4"/>
      <c r="C18" s="4"/>
      <c r="D18" s="4" t="s">
        <v>21</v>
      </c>
      <c r="E18" s="4"/>
      <c r="F18" s="4"/>
    </row>
    <row r="19" customFormat="false" ht="23.85" hidden="false" customHeight="false" outlineLevel="0" collapsed="false">
      <c r="A19" s="4" t="s">
        <v>22</v>
      </c>
      <c r="B19" s="4"/>
      <c r="C19" s="4"/>
      <c r="D19" s="4" t="s">
        <v>23</v>
      </c>
      <c r="E19" s="4"/>
      <c r="F19" s="4"/>
    </row>
    <row r="20" customFormat="false" ht="35.05" hidden="false" customHeight="false" outlineLevel="0" collapsed="false">
      <c r="A20" s="4" t="s">
        <v>24</v>
      </c>
      <c r="B20" s="4"/>
      <c r="C20" s="4"/>
      <c r="D20" s="4" t="s">
        <v>25</v>
      </c>
      <c r="E20" s="4"/>
      <c r="F20" s="4"/>
    </row>
    <row r="21" customFormat="false" ht="23.85" hidden="false" customHeight="false" outlineLevel="0" collapsed="false">
      <c r="A21" s="4" t="s">
        <v>26</v>
      </c>
      <c r="B21" s="4"/>
      <c r="C21" s="4"/>
      <c r="D21" s="4" t="s">
        <v>27</v>
      </c>
      <c r="E21" s="4"/>
      <c r="F21" s="4"/>
    </row>
    <row r="22" customFormat="false" ht="15" hidden="false" customHeight="false" outlineLevel="0" collapsed="false">
      <c r="A22" s="4" t="s">
        <v>28</v>
      </c>
      <c r="B22" s="4"/>
      <c r="C22" s="4"/>
      <c r="D22" s="4" t="s">
        <v>29</v>
      </c>
      <c r="E22" s="4"/>
      <c r="F22" s="4"/>
    </row>
    <row r="23" customFormat="false" ht="23.85" hidden="false" customHeight="false" outlineLevel="0" collapsed="false">
      <c r="A23" s="4" t="s">
        <v>30</v>
      </c>
      <c r="B23" s="4"/>
      <c r="C23" s="4"/>
      <c r="D23" s="4" t="s">
        <v>31</v>
      </c>
      <c r="E23" s="4"/>
      <c r="F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17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13"/>
  </cols>
  <sheetData>
    <row r="1" customFormat="false" ht="39.5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</row>
    <row r="2" customFormat="false" ht="35.05" hidden="false" customHeight="false" outlineLevel="0" collapsed="false">
      <c r="A2" s="4" t="n">
        <v>1</v>
      </c>
      <c r="B2" s="5" t="n">
        <v>46290</v>
      </c>
      <c r="C2" s="5" t="n">
        <v>46296</v>
      </c>
      <c r="D2" s="4" t="s">
        <v>41</v>
      </c>
      <c r="E2" s="4" t="s">
        <v>42</v>
      </c>
      <c r="F2" s="4" t="s">
        <v>43</v>
      </c>
      <c r="G2" s="4" t="s">
        <v>20</v>
      </c>
      <c r="H2" s="4" t="s">
        <v>44</v>
      </c>
      <c r="I2" s="7" t="n">
        <v>3</v>
      </c>
      <c r="J2" s="4" t="s">
        <v>45</v>
      </c>
      <c r="K2" s="4" t="s">
        <v>46</v>
      </c>
      <c r="L2" s="4" t="s">
        <v>47</v>
      </c>
    </row>
    <row r="3" customFormat="false" ht="23.85" hidden="false" customHeight="false" outlineLevel="0" collapsed="false">
      <c r="A3" s="4" t="n">
        <v>1</v>
      </c>
      <c r="B3" s="5" t="n">
        <v>46290</v>
      </c>
      <c r="C3" s="5" t="n">
        <v>46296</v>
      </c>
      <c r="D3" s="4" t="s">
        <v>48</v>
      </c>
      <c r="E3" s="4" t="s">
        <v>42</v>
      </c>
      <c r="F3" s="4" t="s">
        <v>49</v>
      </c>
      <c r="G3" s="4" t="s">
        <v>20</v>
      </c>
      <c r="H3" s="4" t="s">
        <v>44</v>
      </c>
      <c r="I3" s="7" t="n">
        <v>4</v>
      </c>
      <c r="J3" s="4" t="s">
        <v>45</v>
      </c>
      <c r="K3" s="4" t="s">
        <v>50</v>
      </c>
      <c r="L3" s="4" t="s">
        <v>47</v>
      </c>
    </row>
    <row r="4" customFormat="false" ht="23.85" hidden="false" customHeight="false" outlineLevel="0" collapsed="false">
      <c r="A4" s="4" t="n">
        <v>1</v>
      </c>
      <c r="B4" s="5" t="n">
        <v>46290</v>
      </c>
      <c r="C4" s="5" t="n">
        <v>46296</v>
      </c>
      <c r="D4" s="4" t="s">
        <v>51</v>
      </c>
      <c r="E4" s="4" t="s">
        <v>52</v>
      </c>
      <c r="F4" s="4" t="s">
        <v>53</v>
      </c>
      <c r="G4" s="4" t="s">
        <v>20</v>
      </c>
      <c r="H4" s="4" t="s">
        <v>44</v>
      </c>
      <c r="I4" s="7" t="n">
        <v>4</v>
      </c>
      <c r="J4" s="4" t="s">
        <v>45</v>
      </c>
      <c r="K4" s="4" t="s">
        <v>54</v>
      </c>
      <c r="L4" s="4" t="s">
        <v>55</v>
      </c>
    </row>
    <row r="5" customFormat="false" ht="23.85" hidden="false" customHeight="false" outlineLevel="0" collapsed="false">
      <c r="A5" s="4" t="n">
        <v>1</v>
      </c>
      <c r="B5" s="5" t="n">
        <v>46290</v>
      </c>
      <c r="C5" s="5" t="n">
        <v>46296</v>
      </c>
      <c r="D5" s="4" t="s">
        <v>56</v>
      </c>
      <c r="E5" s="4" t="s">
        <v>42</v>
      </c>
      <c r="F5" s="4" t="s">
        <v>57</v>
      </c>
      <c r="G5" s="4" t="s">
        <v>22</v>
      </c>
      <c r="H5" s="4" t="s">
        <v>44</v>
      </c>
      <c r="I5" s="7" t="n">
        <v>3</v>
      </c>
      <c r="J5" s="4" t="s">
        <v>45</v>
      </c>
      <c r="K5" s="4" t="s">
        <v>58</v>
      </c>
      <c r="L5" s="4" t="s">
        <v>47</v>
      </c>
    </row>
    <row r="6" customFormat="false" ht="23.85" hidden="false" customHeight="false" outlineLevel="0" collapsed="false">
      <c r="A6" s="4" t="n">
        <v>1</v>
      </c>
      <c r="B6" s="5" t="n">
        <v>46290</v>
      </c>
      <c r="C6" s="5" t="n">
        <v>46296</v>
      </c>
      <c r="D6" s="4" t="s">
        <v>59</v>
      </c>
      <c r="E6" s="4" t="s">
        <v>42</v>
      </c>
      <c r="F6" s="4" t="s">
        <v>60</v>
      </c>
      <c r="G6" s="4" t="s">
        <v>22</v>
      </c>
      <c r="H6" s="4" t="s">
        <v>44</v>
      </c>
      <c r="I6" s="7" t="n">
        <v>4</v>
      </c>
      <c r="J6" s="4" t="s">
        <v>45</v>
      </c>
      <c r="K6" s="4" t="s">
        <v>61</v>
      </c>
      <c r="L6" s="4" t="s">
        <v>47</v>
      </c>
    </row>
    <row r="7" customFormat="false" ht="23.85" hidden="false" customHeight="false" outlineLevel="0" collapsed="false">
      <c r="A7" s="4" t="n">
        <v>1</v>
      </c>
      <c r="B7" s="5" t="n">
        <v>46290</v>
      </c>
      <c r="C7" s="5" t="n">
        <v>46296</v>
      </c>
      <c r="D7" s="4" t="s">
        <v>62</v>
      </c>
      <c r="E7" s="4" t="s">
        <v>63</v>
      </c>
      <c r="F7" s="4" t="s">
        <v>64</v>
      </c>
      <c r="G7" s="4" t="s">
        <v>24</v>
      </c>
      <c r="H7" s="4" t="s">
        <v>65</v>
      </c>
      <c r="I7" s="7" t="n">
        <v>6</v>
      </c>
      <c r="J7" s="4" t="s">
        <v>45</v>
      </c>
      <c r="K7" s="4" t="s">
        <v>66</v>
      </c>
      <c r="L7" s="4" t="s">
        <v>67</v>
      </c>
    </row>
    <row r="8" customFormat="false" ht="23.85" hidden="false" customHeight="false" outlineLevel="0" collapsed="false">
      <c r="A8" s="4" t="n">
        <v>1</v>
      </c>
      <c r="B8" s="5" t="n">
        <v>46290</v>
      </c>
      <c r="C8" s="5" t="n">
        <v>46296</v>
      </c>
      <c r="D8" s="4" t="s">
        <v>68</v>
      </c>
      <c r="E8" s="4" t="s">
        <v>69</v>
      </c>
      <c r="F8" s="4" t="s">
        <v>70</v>
      </c>
      <c r="G8" s="4" t="s">
        <v>24</v>
      </c>
      <c r="H8" s="4" t="s">
        <v>65</v>
      </c>
      <c r="I8" s="7" t="n">
        <v>4</v>
      </c>
      <c r="J8" s="4" t="s">
        <v>71</v>
      </c>
      <c r="K8" s="4" t="s">
        <v>72</v>
      </c>
      <c r="L8" s="4" t="s">
        <v>73</v>
      </c>
    </row>
    <row r="9" customFormat="false" ht="23.85" hidden="false" customHeight="false" outlineLevel="0" collapsed="false">
      <c r="A9" s="4" t="n">
        <v>1</v>
      </c>
      <c r="B9" s="5" t="n">
        <v>46290</v>
      </c>
      <c r="C9" s="5" t="n">
        <v>46296</v>
      </c>
      <c r="D9" s="4" t="s">
        <v>74</v>
      </c>
      <c r="E9" s="4" t="s">
        <v>75</v>
      </c>
      <c r="F9" s="4" t="s">
        <v>76</v>
      </c>
      <c r="G9" s="4" t="s">
        <v>26</v>
      </c>
      <c r="H9" s="4" t="s">
        <v>44</v>
      </c>
      <c r="I9" s="7" t="n">
        <v>6</v>
      </c>
      <c r="J9" s="4" t="s">
        <v>45</v>
      </c>
      <c r="K9" s="4" t="s">
        <v>77</v>
      </c>
      <c r="L9" s="4" t="s">
        <v>78</v>
      </c>
    </row>
    <row r="10" customFormat="false" ht="15" hidden="false" customHeight="false" outlineLevel="0" collapsed="false">
      <c r="A10" s="4" t="n">
        <v>1</v>
      </c>
      <c r="B10" s="5" t="n">
        <v>46290</v>
      </c>
      <c r="C10" s="5" t="n">
        <v>46296</v>
      </c>
      <c r="D10" s="4" t="s">
        <v>79</v>
      </c>
      <c r="E10" s="4" t="s">
        <v>80</v>
      </c>
      <c r="F10" s="4" t="s">
        <v>81</v>
      </c>
      <c r="G10" s="4" t="s">
        <v>28</v>
      </c>
      <c r="H10" s="4" t="s">
        <v>82</v>
      </c>
      <c r="I10" s="7" t="n">
        <v>6</v>
      </c>
      <c r="J10" s="4" t="s">
        <v>45</v>
      </c>
      <c r="K10" s="4" t="s">
        <v>83</v>
      </c>
      <c r="L10" s="4" t="s">
        <v>84</v>
      </c>
    </row>
    <row r="11" customFormat="false" ht="23.85" hidden="false" customHeight="false" outlineLevel="0" collapsed="false">
      <c r="A11" s="4" t="n">
        <v>1</v>
      </c>
      <c r="B11" s="5" t="n">
        <v>46290</v>
      </c>
      <c r="C11" s="5" t="n">
        <v>46296</v>
      </c>
      <c r="D11" s="4" t="s">
        <v>85</v>
      </c>
      <c r="E11" s="4" t="s">
        <v>86</v>
      </c>
      <c r="F11" s="4" t="s">
        <v>87</v>
      </c>
      <c r="G11" s="4" t="s">
        <v>30</v>
      </c>
      <c r="H11" s="4" t="s">
        <v>65</v>
      </c>
      <c r="I11" s="7" t="n">
        <v>6</v>
      </c>
      <c r="J11" s="4" t="s">
        <v>45</v>
      </c>
      <c r="K11" s="4" t="s">
        <v>88</v>
      </c>
      <c r="L11" s="4" t="s">
        <v>89</v>
      </c>
    </row>
    <row r="12" customFormat="false" ht="15" hidden="false" customHeight="false" outlineLevel="0" collapsed="false">
      <c r="A12" s="4" t="n">
        <v>2</v>
      </c>
      <c r="B12" s="5" t="n">
        <v>46297</v>
      </c>
      <c r="C12" s="5" t="n">
        <v>46303</v>
      </c>
      <c r="D12" s="4" t="s">
        <v>90</v>
      </c>
      <c r="E12" s="4" t="s">
        <v>52</v>
      </c>
      <c r="F12" s="4" t="s">
        <v>91</v>
      </c>
      <c r="G12" s="4" t="s">
        <v>20</v>
      </c>
      <c r="H12" s="4" t="s">
        <v>92</v>
      </c>
      <c r="I12" s="7" t="n">
        <v>6</v>
      </c>
      <c r="J12" s="4" t="s">
        <v>45</v>
      </c>
      <c r="K12" s="4" t="s">
        <v>93</v>
      </c>
      <c r="L12" s="4" t="s">
        <v>55</v>
      </c>
    </row>
    <row r="13" customFormat="false" ht="15" hidden="false" customHeight="false" outlineLevel="0" collapsed="false">
      <c r="A13" s="4" t="n">
        <v>2</v>
      </c>
      <c r="B13" s="5" t="n">
        <v>46297</v>
      </c>
      <c r="C13" s="5" t="n">
        <v>46303</v>
      </c>
      <c r="D13" s="4" t="s">
        <v>94</v>
      </c>
      <c r="E13" s="4" t="s">
        <v>52</v>
      </c>
      <c r="F13" s="4" t="s">
        <v>95</v>
      </c>
      <c r="G13" s="4" t="s">
        <v>20</v>
      </c>
      <c r="H13" s="4" t="s">
        <v>92</v>
      </c>
      <c r="I13" s="7" t="n">
        <v>4</v>
      </c>
      <c r="J13" s="4" t="s">
        <v>71</v>
      </c>
      <c r="K13" s="4" t="s">
        <v>96</v>
      </c>
      <c r="L13" s="4" t="s">
        <v>55</v>
      </c>
    </row>
    <row r="14" customFormat="false" ht="15" hidden="false" customHeight="false" outlineLevel="0" collapsed="false">
      <c r="A14" s="4" t="n">
        <v>2</v>
      </c>
      <c r="B14" s="5" t="n">
        <v>46297</v>
      </c>
      <c r="C14" s="5" t="n">
        <v>46303</v>
      </c>
      <c r="D14" s="4" t="s">
        <v>97</v>
      </c>
      <c r="E14" s="4" t="s">
        <v>75</v>
      </c>
      <c r="F14" s="4" t="s">
        <v>98</v>
      </c>
      <c r="G14" s="4" t="s">
        <v>26</v>
      </c>
      <c r="H14" s="4" t="s">
        <v>92</v>
      </c>
      <c r="I14" s="7" t="n">
        <v>8</v>
      </c>
      <c r="J14" s="4" t="s">
        <v>45</v>
      </c>
      <c r="K14" s="4" t="s">
        <v>99</v>
      </c>
      <c r="L14" s="4" t="s">
        <v>78</v>
      </c>
    </row>
    <row r="15" customFormat="false" ht="15" hidden="false" customHeight="false" outlineLevel="0" collapsed="false">
      <c r="A15" s="4" t="n">
        <v>2</v>
      </c>
      <c r="B15" s="5" t="n">
        <v>46297</v>
      </c>
      <c r="C15" s="5" t="n">
        <v>46303</v>
      </c>
      <c r="D15" s="4" t="s">
        <v>100</v>
      </c>
      <c r="E15" s="4" t="s">
        <v>75</v>
      </c>
      <c r="F15" s="4" t="s">
        <v>101</v>
      </c>
      <c r="G15" s="4" t="s">
        <v>26</v>
      </c>
      <c r="H15" s="4" t="s">
        <v>92</v>
      </c>
      <c r="I15" s="7" t="n">
        <v>4</v>
      </c>
      <c r="J15" s="4" t="s">
        <v>71</v>
      </c>
      <c r="K15" s="4" t="s">
        <v>102</v>
      </c>
      <c r="L15" s="4" t="s">
        <v>78</v>
      </c>
    </row>
    <row r="16" customFormat="false" ht="15" hidden="false" customHeight="false" outlineLevel="0" collapsed="false">
      <c r="A16" s="4" t="n">
        <v>2</v>
      </c>
      <c r="B16" s="5" t="n">
        <v>46297</v>
      </c>
      <c r="C16" s="5" t="n">
        <v>46303</v>
      </c>
      <c r="D16" s="4" t="s">
        <v>103</v>
      </c>
      <c r="E16" s="4" t="s">
        <v>80</v>
      </c>
      <c r="F16" s="4" t="s">
        <v>104</v>
      </c>
      <c r="G16" s="4" t="s">
        <v>28</v>
      </c>
      <c r="H16" s="4" t="s">
        <v>92</v>
      </c>
      <c r="I16" s="7" t="n">
        <v>8</v>
      </c>
      <c r="J16" s="4" t="s">
        <v>45</v>
      </c>
      <c r="K16" s="4" t="s">
        <v>105</v>
      </c>
      <c r="L16" s="4" t="s">
        <v>84</v>
      </c>
    </row>
    <row r="17" customFormat="false" ht="15" hidden="false" customHeight="false" outlineLevel="0" collapsed="false">
      <c r="A17" s="4" t="n">
        <v>2</v>
      </c>
      <c r="B17" s="5" t="n">
        <v>46297</v>
      </c>
      <c r="C17" s="5" t="n">
        <v>46303</v>
      </c>
      <c r="D17" s="4" t="s">
        <v>106</v>
      </c>
      <c r="E17" s="4" t="s">
        <v>86</v>
      </c>
      <c r="F17" s="4" t="s">
        <v>107</v>
      </c>
      <c r="G17" s="4" t="s">
        <v>30</v>
      </c>
      <c r="H17" s="4" t="s">
        <v>92</v>
      </c>
      <c r="I17" s="7" t="n">
        <v>8</v>
      </c>
      <c r="J17" s="4" t="s">
        <v>45</v>
      </c>
      <c r="K17" s="4" t="s">
        <v>108</v>
      </c>
      <c r="L17" s="4" t="s">
        <v>89</v>
      </c>
    </row>
    <row r="18" customFormat="false" ht="15" hidden="false" customHeight="false" outlineLevel="0" collapsed="false">
      <c r="A18" s="4" t="n">
        <v>2</v>
      </c>
      <c r="B18" s="5" t="n">
        <v>46297</v>
      </c>
      <c r="C18" s="5" t="n">
        <v>46303</v>
      </c>
      <c r="D18" s="4" t="s">
        <v>109</v>
      </c>
      <c r="E18" s="4" t="s">
        <v>110</v>
      </c>
      <c r="F18" s="4" t="s">
        <v>111</v>
      </c>
      <c r="G18" s="4" t="s">
        <v>22</v>
      </c>
      <c r="H18" s="4" t="s">
        <v>92</v>
      </c>
      <c r="I18" s="7" t="n">
        <v>6</v>
      </c>
      <c r="J18" s="4" t="s">
        <v>71</v>
      </c>
      <c r="K18" s="4" t="s">
        <v>112</v>
      </c>
      <c r="L18" s="4" t="s">
        <v>113</v>
      </c>
    </row>
    <row r="19" customFormat="false" ht="15" hidden="false" customHeight="false" outlineLevel="0" collapsed="false">
      <c r="A19" s="4" t="n">
        <v>2</v>
      </c>
      <c r="B19" s="5" t="n">
        <v>46297</v>
      </c>
      <c r="C19" s="5" t="n">
        <v>46303</v>
      </c>
      <c r="D19" s="4" t="s">
        <v>114</v>
      </c>
      <c r="E19" s="4" t="s">
        <v>69</v>
      </c>
      <c r="F19" s="4" t="s">
        <v>115</v>
      </c>
      <c r="G19" s="4" t="s">
        <v>24</v>
      </c>
      <c r="H19" s="4" t="s">
        <v>92</v>
      </c>
      <c r="I19" s="7" t="n">
        <v>6</v>
      </c>
      <c r="J19" s="4" t="s">
        <v>71</v>
      </c>
      <c r="K19" s="4" t="s">
        <v>116</v>
      </c>
      <c r="L19" s="4" t="s">
        <v>73</v>
      </c>
    </row>
    <row r="20" customFormat="false" ht="15" hidden="false" customHeight="false" outlineLevel="0" collapsed="false">
      <c r="A20" s="4" t="n">
        <v>2</v>
      </c>
      <c r="B20" s="5" t="n">
        <v>46297</v>
      </c>
      <c r="C20" s="5" t="n">
        <v>46303</v>
      </c>
      <c r="D20" s="4" t="s">
        <v>117</v>
      </c>
      <c r="E20" s="4" t="s">
        <v>63</v>
      </c>
      <c r="F20" s="4" t="s">
        <v>118</v>
      </c>
      <c r="G20" s="4" t="s">
        <v>24</v>
      </c>
      <c r="H20" s="4" t="s">
        <v>92</v>
      </c>
      <c r="I20" s="7" t="n">
        <v>4</v>
      </c>
      <c r="J20" s="4" t="s">
        <v>45</v>
      </c>
      <c r="K20" s="4" t="s">
        <v>119</v>
      </c>
      <c r="L20" s="4" t="s">
        <v>67</v>
      </c>
    </row>
    <row r="21" customFormat="false" ht="15" hidden="false" customHeight="false" outlineLevel="0" collapsed="false">
      <c r="A21" s="4" t="n">
        <v>3</v>
      </c>
      <c r="B21" s="5" t="n">
        <v>46304</v>
      </c>
      <c r="C21" s="5" t="n">
        <v>46310</v>
      </c>
      <c r="D21" s="4" t="s">
        <v>120</v>
      </c>
      <c r="E21" s="4" t="s">
        <v>52</v>
      </c>
      <c r="F21" s="4" t="s">
        <v>121</v>
      </c>
      <c r="G21" s="4" t="s">
        <v>20</v>
      </c>
      <c r="H21" s="4" t="s">
        <v>122</v>
      </c>
      <c r="I21" s="7" t="n">
        <v>6</v>
      </c>
      <c r="J21" s="4" t="s">
        <v>45</v>
      </c>
      <c r="K21" s="4" t="s">
        <v>123</v>
      </c>
      <c r="L21" s="4" t="s">
        <v>55</v>
      </c>
    </row>
    <row r="22" customFormat="false" ht="15" hidden="false" customHeight="false" outlineLevel="0" collapsed="false">
      <c r="A22" s="4" t="n">
        <v>3</v>
      </c>
      <c r="B22" s="5" t="n">
        <v>46304</v>
      </c>
      <c r="C22" s="5" t="n">
        <v>46310</v>
      </c>
      <c r="D22" s="4" t="s">
        <v>124</v>
      </c>
      <c r="E22" s="4" t="s">
        <v>75</v>
      </c>
      <c r="F22" s="4" t="s">
        <v>125</v>
      </c>
      <c r="G22" s="4" t="s">
        <v>26</v>
      </c>
      <c r="H22" s="4" t="s">
        <v>92</v>
      </c>
      <c r="I22" s="7" t="n">
        <v>10</v>
      </c>
      <c r="J22" s="4" t="s">
        <v>45</v>
      </c>
      <c r="K22" s="4" t="s">
        <v>126</v>
      </c>
      <c r="L22" s="4" t="s">
        <v>78</v>
      </c>
    </row>
    <row r="23" customFormat="false" ht="15" hidden="false" customHeight="false" outlineLevel="0" collapsed="false">
      <c r="A23" s="4" t="n">
        <v>3</v>
      </c>
      <c r="B23" s="5" t="n">
        <v>46304</v>
      </c>
      <c r="C23" s="5" t="n">
        <v>46310</v>
      </c>
      <c r="D23" s="4" t="s">
        <v>127</v>
      </c>
      <c r="E23" s="4" t="s">
        <v>80</v>
      </c>
      <c r="F23" s="4" t="s">
        <v>128</v>
      </c>
      <c r="G23" s="4" t="s">
        <v>28</v>
      </c>
      <c r="H23" s="4" t="s">
        <v>122</v>
      </c>
      <c r="I23" s="7" t="n">
        <v>10</v>
      </c>
      <c r="J23" s="4" t="s">
        <v>45</v>
      </c>
      <c r="K23" s="4" t="s">
        <v>129</v>
      </c>
      <c r="L23" s="4" t="s">
        <v>84</v>
      </c>
    </row>
    <row r="24" customFormat="false" ht="15" hidden="false" customHeight="false" outlineLevel="0" collapsed="false">
      <c r="A24" s="4" t="n">
        <v>3</v>
      </c>
      <c r="B24" s="5" t="n">
        <v>46304</v>
      </c>
      <c r="C24" s="5" t="n">
        <v>46310</v>
      </c>
      <c r="D24" s="4" t="s">
        <v>130</v>
      </c>
      <c r="E24" s="4" t="s">
        <v>86</v>
      </c>
      <c r="F24" s="4" t="s">
        <v>131</v>
      </c>
      <c r="G24" s="4" t="s">
        <v>30</v>
      </c>
      <c r="H24" s="4" t="s">
        <v>132</v>
      </c>
      <c r="I24" s="7" t="n">
        <v>10</v>
      </c>
      <c r="J24" s="4" t="s">
        <v>45</v>
      </c>
      <c r="K24" s="4" t="s">
        <v>133</v>
      </c>
      <c r="L24" s="4" t="s">
        <v>89</v>
      </c>
    </row>
    <row r="25" customFormat="false" ht="15" hidden="false" customHeight="false" outlineLevel="0" collapsed="false">
      <c r="A25" s="4" t="n">
        <v>3</v>
      </c>
      <c r="B25" s="5" t="n">
        <v>46304</v>
      </c>
      <c r="C25" s="5" t="n">
        <v>46310</v>
      </c>
      <c r="D25" s="4" t="s">
        <v>134</v>
      </c>
      <c r="E25" s="4" t="s">
        <v>110</v>
      </c>
      <c r="F25" s="4" t="s">
        <v>135</v>
      </c>
      <c r="G25" s="4" t="s">
        <v>22</v>
      </c>
      <c r="H25" s="4" t="s">
        <v>132</v>
      </c>
      <c r="I25" s="7" t="n">
        <v>5</v>
      </c>
      <c r="J25" s="4" t="s">
        <v>71</v>
      </c>
      <c r="K25" s="4" t="s">
        <v>136</v>
      </c>
      <c r="L25" s="4" t="s">
        <v>113</v>
      </c>
    </row>
    <row r="26" customFormat="false" ht="15" hidden="false" customHeight="false" outlineLevel="0" collapsed="false">
      <c r="A26" s="4" t="n">
        <v>3</v>
      </c>
      <c r="B26" s="5" t="n">
        <v>46304</v>
      </c>
      <c r="C26" s="5" t="n">
        <v>46310</v>
      </c>
      <c r="D26" s="4" t="s">
        <v>137</v>
      </c>
      <c r="E26" s="4" t="s">
        <v>63</v>
      </c>
      <c r="F26" s="4" t="s">
        <v>138</v>
      </c>
      <c r="G26" s="4" t="s">
        <v>24</v>
      </c>
      <c r="H26" s="4" t="s">
        <v>92</v>
      </c>
      <c r="I26" s="7" t="n">
        <v>5</v>
      </c>
      <c r="J26" s="4" t="s">
        <v>45</v>
      </c>
      <c r="K26" s="4" t="s">
        <v>139</v>
      </c>
      <c r="L26" s="4" t="s">
        <v>67</v>
      </c>
    </row>
    <row r="27" customFormat="false" ht="35.05" hidden="false" customHeight="false" outlineLevel="0" collapsed="false">
      <c r="A27" s="4" t="n">
        <v>3</v>
      </c>
      <c r="B27" s="5" t="n">
        <v>46304</v>
      </c>
      <c r="C27" s="5" t="n">
        <v>46310</v>
      </c>
      <c r="D27" s="4" t="s">
        <v>140</v>
      </c>
      <c r="E27" s="4" t="s">
        <v>69</v>
      </c>
      <c r="F27" s="4" t="s">
        <v>141</v>
      </c>
      <c r="G27" s="4" t="s">
        <v>24</v>
      </c>
      <c r="H27" s="4" t="s">
        <v>122</v>
      </c>
      <c r="I27" s="7" t="n">
        <v>5</v>
      </c>
      <c r="J27" s="4" t="s">
        <v>71</v>
      </c>
      <c r="K27" s="4" t="s">
        <v>142</v>
      </c>
      <c r="L27" s="4" t="s">
        <v>73</v>
      </c>
    </row>
    <row r="28" customFormat="false" ht="15" hidden="false" customHeight="false" outlineLevel="0" collapsed="false">
      <c r="A28" s="4" t="n">
        <v>4</v>
      </c>
      <c r="B28" s="5" t="n">
        <v>46311</v>
      </c>
      <c r="C28" s="5" t="n">
        <v>46317</v>
      </c>
      <c r="D28" s="4" t="s">
        <v>143</v>
      </c>
      <c r="E28" s="4" t="s">
        <v>52</v>
      </c>
      <c r="F28" s="4" t="s">
        <v>144</v>
      </c>
      <c r="G28" s="4" t="s">
        <v>20</v>
      </c>
      <c r="H28" s="4" t="s">
        <v>132</v>
      </c>
      <c r="I28" s="7" t="n">
        <v>8</v>
      </c>
      <c r="J28" s="4" t="s">
        <v>45</v>
      </c>
      <c r="K28" s="4" t="s">
        <v>145</v>
      </c>
      <c r="L28" s="4" t="s">
        <v>55</v>
      </c>
    </row>
    <row r="29" customFormat="false" ht="15" hidden="false" customHeight="false" outlineLevel="0" collapsed="false">
      <c r="A29" s="4" t="n">
        <v>4</v>
      </c>
      <c r="B29" s="5" t="n">
        <v>46311</v>
      </c>
      <c r="C29" s="5" t="n">
        <v>46317</v>
      </c>
      <c r="D29" s="4" t="s">
        <v>146</v>
      </c>
      <c r="E29" s="4" t="s">
        <v>75</v>
      </c>
      <c r="F29" s="4" t="s">
        <v>147</v>
      </c>
      <c r="G29" s="4" t="s">
        <v>26</v>
      </c>
      <c r="H29" s="4" t="s">
        <v>132</v>
      </c>
      <c r="I29" s="7" t="n">
        <v>8</v>
      </c>
      <c r="J29" s="4" t="s">
        <v>45</v>
      </c>
      <c r="K29" s="4" t="s">
        <v>148</v>
      </c>
      <c r="L29" s="4" t="s">
        <v>78</v>
      </c>
    </row>
    <row r="30" customFormat="false" ht="15" hidden="false" customHeight="false" outlineLevel="0" collapsed="false">
      <c r="A30" s="4" t="n">
        <v>4</v>
      </c>
      <c r="B30" s="5" t="n">
        <v>46311</v>
      </c>
      <c r="C30" s="5" t="n">
        <v>46317</v>
      </c>
      <c r="D30" s="4" t="s">
        <v>149</v>
      </c>
      <c r="E30" s="4" t="s">
        <v>80</v>
      </c>
      <c r="F30" s="4" t="s">
        <v>150</v>
      </c>
      <c r="G30" s="4" t="s">
        <v>28</v>
      </c>
      <c r="H30" s="4" t="s">
        <v>132</v>
      </c>
      <c r="I30" s="7" t="n">
        <v>8</v>
      </c>
      <c r="J30" s="4" t="s">
        <v>71</v>
      </c>
      <c r="K30" s="4" t="s">
        <v>151</v>
      </c>
      <c r="L30" s="4" t="s">
        <v>84</v>
      </c>
    </row>
    <row r="31" customFormat="false" ht="15" hidden="false" customHeight="false" outlineLevel="0" collapsed="false">
      <c r="A31" s="4" t="n">
        <v>4</v>
      </c>
      <c r="B31" s="5" t="n">
        <v>46311</v>
      </c>
      <c r="C31" s="5" t="n">
        <v>46317</v>
      </c>
      <c r="D31" s="4" t="s">
        <v>152</v>
      </c>
      <c r="E31" s="4" t="s">
        <v>86</v>
      </c>
      <c r="F31" s="4" t="s">
        <v>153</v>
      </c>
      <c r="G31" s="4" t="s">
        <v>30</v>
      </c>
      <c r="H31" s="4" t="s">
        <v>132</v>
      </c>
      <c r="I31" s="7" t="n">
        <v>10</v>
      </c>
      <c r="J31" s="4" t="s">
        <v>45</v>
      </c>
      <c r="K31" s="4" t="s">
        <v>154</v>
      </c>
      <c r="L31" s="4" t="s">
        <v>89</v>
      </c>
    </row>
    <row r="32" customFormat="false" ht="15" hidden="false" customHeight="false" outlineLevel="0" collapsed="false">
      <c r="A32" s="4" t="n">
        <v>4</v>
      </c>
      <c r="B32" s="5" t="n">
        <v>46311</v>
      </c>
      <c r="C32" s="5" t="n">
        <v>46317</v>
      </c>
      <c r="D32" s="4" t="s">
        <v>155</v>
      </c>
      <c r="E32" s="4" t="s">
        <v>110</v>
      </c>
      <c r="F32" s="4" t="s">
        <v>156</v>
      </c>
      <c r="G32" s="4" t="s">
        <v>22</v>
      </c>
      <c r="H32" s="4" t="s">
        <v>44</v>
      </c>
      <c r="I32" s="7" t="n">
        <v>5</v>
      </c>
      <c r="J32" s="4" t="s">
        <v>71</v>
      </c>
      <c r="K32" s="4" t="s">
        <v>157</v>
      </c>
      <c r="L32" s="4" t="s">
        <v>113</v>
      </c>
    </row>
    <row r="33" customFormat="false" ht="15" hidden="false" customHeight="false" outlineLevel="0" collapsed="false">
      <c r="A33" s="4" t="n">
        <v>4</v>
      </c>
      <c r="B33" s="5" t="n">
        <v>46311</v>
      </c>
      <c r="C33" s="5" t="n">
        <v>46317</v>
      </c>
      <c r="D33" s="4" t="s">
        <v>158</v>
      </c>
      <c r="E33" s="4" t="s">
        <v>69</v>
      </c>
      <c r="F33" s="4" t="s">
        <v>159</v>
      </c>
      <c r="G33" s="4" t="s">
        <v>24</v>
      </c>
      <c r="H33" s="4" t="s">
        <v>132</v>
      </c>
      <c r="I33" s="7" t="n">
        <v>6</v>
      </c>
      <c r="J33" s="4" t="s">
        <v>71</v>
      </c>
      <c r="K33" s="4" t="s">
        <v>160</v>
      </c>
      <c r="L33" s="4" t="s">
        <v>73</v>
      </c>
    </row>
    <row r="34" customFormat="false" ht="15" hidden="false" customHeight="false" outlineLevel="0" collapsed="false">
      <c r="A34" s="4" t="n">
        <v>4</v>
      </c>
      <c r="B34" s="5" t="n">
        <v>46311</v>
      </c>
      <c r="C34" s="5" t="n">
        <v>46317</v>
      </c>
      <c r="D34" s="4" t="s">
        <v>161</v>
      </c>
      <c r="E34" s="4" t="s">
        <v>63</v>
      </c>
      <c r="F34" s="4" t="s">
        <v>162</v>
      </c>
      <c r="G34" s="4" t="s">
        <v>24</v>
      </c>
      <c r="H34" s="4" t="s">
        <v>132</v>
      </c>
      <c r="I34" s="7" t="n">
        <v>5</v>
      </c>
      <c r="J34" s="4" t="s">
        <v>45</v>
      </c>
      <c r="K34" s="4" t="s">
        <v>163</v>
      </c>
      <c r="L34" s="4" t="s">
        <v>67</v>
      </c>
    </row>
    <row r="35" customFormat="false" ht="23.85" hidden="false" customHeight="false" outlineLevel="0" collapsed="false">
      <c r="A35" s="4" t="n">
        <v>5</v>
      </c>
      <c r="B35" s="5" t="n">
        <v>46318</v>
      </c>
      <c r="C35" s="5" t="n">
        <v>46324</v>
      </c>
      <c r="D35" s="4" t="s">
        <v>164</v>
      </c>
      <c r="E35" s="4" t="s">
        <v>52</v>
      </c>
      <c r="F35" s="4" t="s">
        <v>165</v>
      </c>
      <c r="G35" s="4" t="s">
        <v>20</v>
      </c>
      <c r="H35" s="4" t="s">
        <v>166</v>
      </c>
      <c r="I35" s="7" t="n">
        <v>10</v>
      </c>
      <c r="J35" s="4" t="s">
        <v>45</v>
      </c>
      <c r="K35" s="4" t="s">
        <v>167</v>
      </c>
      <c r="L35" s="4" t="s">
        <v>55</v>
      </c>
    </row>
    <row r="36" customFormat="false" ht="15" hidden="false" customHeight="false" outlineLevel="0" collapsed="false">
      <c r="A36" s="4" t="n">
        <v>5</v>
      </c>
      <c r="B36" s="5" t="n">
        <v>46318</v>
      </c>
      <c r="C36" s="5" t="n">
        <v>46324</v>
      </c>
      <c r="D36" s="4" t="s">
        <v>168</v>
      </c>
      <c r="E36" s="4" t="s">
        <v>75</v>
      </c>
      <c r="F36" s="4" t="s">
        <v>169</v>
      </c>
      <c r="G36" s="4" t="s">
        <v>26</v>
      </c>
      <c r="H36" s="4" t="s">
        <v>166</v>
      </c>
      <c r="I36" s="7" t="n">
        <v>10</v>
      </c>
      <c r="J36" s="4" t="s">
        <v>45</v>
      </c>
      <c r="K36" s="4" t="s">
        <v>170</v>
      </c>
      <c r="L36" s="4" t="s">
        <v>78</v>
      </c>
    </row>
    <row r="37" customFormat="false" ht="15" hidden="false" customHeight="false" outlineLevel="0" collapsed="false">
      <c r="A37" s="4" t="n">
        <v>5</v>
      </c>
      <c r="B37" s="5" t="n">
        <v>46318</v>
      </c>
      <c r="C37" s="5" t="n">
        <v>46324</v>
      </c>
      <c r="D37" s="4" t="s">
        <v>171</v>
      </c>
      <c r="E37" s="4" t="s">
        <v>80</v>
      </c>
      <c r="F37" s="4" t="s">
        <v>172</v>
      </c>
      <c r="G37" s="4" t="s">
        <v>28</v>
      </c>
      <c r="H37" s="4" t="s">
        <v>166</v>
      </c>
      <c r="I37" s="7" t="n">
        <v>8</v>
      </c>
      <c r="J37" s="4" t="s">
        <v>71</v>
      </c>
      <c r="K37" s="4" t="s">
        <v>173</v>
      </c>
      <c r="L37" s="4" t="s">
        <v>84</v>
      </c>
    </row>
    <row r="38" customFormat="false" ht="15" hidden="false" customHeight="false" outlineLevel="0" collapsed="false">
      <c r="A38" s="4" t="n">
        <v>5</v>
      </c>
      <c r="B38" s="5" t="n">
        <v>46318</v>
      </c>
      <c r="C38" s="5" t="n">
        <v>46324</v>
      </c>
      <c r="D38" s="4" t="s">
        <v>174</v>
      </c>
      <c r="E38" s="4" t="s">
        <v>86</v>
      </c>
      <c r="F38" s="4" t="s">
        <v>175</v>
      </c>
      <c r="G38" s="4" t="s">
        <v>30</v>
      </c>
      <c r="H38" s="4" t="s">
        <v>166</v>
      </c>
      <c r="I38" s="7" t="n">
        <v>10</v>
      </c>
      <c r="J38" s="4" t="s">
        <v>45</v>
      </c>
      <c r="K38" s="4" t="s">
        <v>176</v>
      </c>
      <c r="L38" s="4" t="s">
        <v>89</v>
      </c>
    </row>
    <row r="39" customFormat="false" ht="15" hidden="false" customHeight="false" outlineLevel="0" collapsed="false">
      <c r="A39" s="4" t="n">
        <v>5</v>
      </c>
      <c r="B39" s="5" t="n">
        <v>46318</v>
      </c>
      <c r="C39" s="5" t="n">
        <v>46324</v>
      </c>
      <c r="D39" s="4" t="s">
        <v>177</v>
      </c>
      <c r="E39" s="4" t="s">
        <v>110</v>
      </c>
      <c r="F39" s="4" t="s">
        <v>178</v>
      </c>
      <c r="G39" s="4" t="s">
        <v>22</v>
      </c>
      <c r="H39" s="4" t="s">
        <v>166</v>
      </c>
      <c r="I39" s="7" t="n">
        <v>5</v>
      </c>
      <c r="J39" s="4" t="s">
        <v>71</v>
      </c>
      <c r="K39" s="4" t="s">
        <v>179</v>
      </c>
      <c r="L39" s="4" t="s">
        <v>113</v>
      </c>
    </row>
    <row r="40" customFormat="false" ht="15" hidden="false" customHeight="false" outlineLevel="0" collapsed="false">
      <c r="A40" s="4" t="n">
        <v>5</v>
      </c>
      <c r="B40" s="5" t="n">
        <v>46318</v>
      </c>
      <c r="C40" s="5" t="n">
        <v>46324</v>
      </c>
      <c r="D40" s="4" t="s">
        <v>180</v>
      </c>
      <c r="E40" s="4" t="s">
        <v>69</v>
      </c>
      <c r="F40" s="4" t="s">
        <v>181</v>
      </c>
      <c r="G40" s="4" t="s">
        <v>24</v>
      </c>
      <c r="H40" s="4" t="s">
        <v>166</v>
      </c>
      <c r="I40" s="7" t="n">
        <v>6</v>
      </c>
      <c r="J40" s="4" t="s">
        <v>71</v>
      </c>
      <c r="K40" s="4" t="s">
        <v>182</v>
      </c>
      <c r="L40" s="4" t="s">
        <v>73</v>
      </c>
    </row>
    <row r="41" customFormat="false" ht="15" hidden="false" customHeight="false" outlineLevel="0" collapsed="false">
      <c r="A41" s="4" t="n">
        <v>5</v>
      </c>
      <c r="B41" s="5" t="n">
        <v>46318</v>
      </c>
      <c r="C41" s="5" t="n">
        <v>46324</v>
      </c>
      <c r="D41" s="4" t="s">
        <v>183</v>
      </c>
      <c r="E41" s="4" t="s">
        <v>63</v>
      </c>
      <c r="F41" s="4" t="s">
        <v>184</v>
      </c>
      <c r="G41" s="4" t="s">
        <v>24</v>
      </c>
      <c r="H41" s="4" t="s">
        <v>166</v>
      </c>
      <c r="I41" s="7" t="n">
        <v>6</v>
      </c>
      <c r="J41" s="4" t="s">
        <v>45</v>
      </c>
      <c r="K41" s="4" t="s">
        <v>185</v>
      </c>
      <c r="L41" s="4" t="s">
        <v>67</v>
      </c>
    </row>
    <row r="42" customFormat="false" ht="15" hidden="false" customHeight="false" outlineLevel="0" collapsed="false">
      <c r="A42" s="4" t="n">
        <v>6</v>
      </c>
      <c r="B42" s="5" t="n">
        <v>46325</v>
      </c>
      <c r="C42" s="5" t="n">
        <v>46331</v>
      </c>
      <c r="D42" s="4" t="s">
        <v>186</v>
      </c>
      <c r="E42" s="4" t="s">
        <v>52</v>
      </c>
      <c r="F42" s="4" t="s">
        <v>187</v>
      </c>
      <c r="G42" s="4" t="s">
        <v>20</v>
      </c>
      <c r="H42" s="4" t="s">
        <v>188</v>
      </c>
      <c r="I42" s="7" t="n">
        <v>8</v>
      </c>
      <c r="J42" s="4" t="s">
        <v>45</v>
      </c>
      <c r="K42" s="4" t="s">
        <v>189</v>
      </c>
      <c r="L42" s="4" t="s">
        <v>55</v>
      </c>
    </row>
    <row r="43" customFormat="false" ht="15" hidden="false" customHeight="false" outlineLevel="0" collapsed="false">
      <c r="A43" s="4" t="n">
        <v>6</v>
      </c>
      <c r="B43" s="5" t="n">
        <v>46325</v>
      </c>
      <c r="C43" s="5" t="n">
        <v>46331</v>
      </c>
      <c r="D43" s="4" t="s">
        <v>190</v>
      </c>
      <c r="E43" s="4" t="s">
        <v>75</v>
      </c>
      <c r="F43" s="4" t="s">
        <v>191</v>
      </c>
      <c r="G43" s="4" t="s">
        <v>26</v>
      </c>
      <c r="H43" s="4" t="s">
        <v>192</v>
      </c>
      <c r="I43" s="7" t="n">
        <v>10</v>
      </c>
      <c r="J43" s="4" t="s">
        <v>45</v>
      </c>
      <c r="K43" s="4" t="s">
        <v>193</v>
      </c>
      <c r="L43" s="4" t="s">
        <v>78</v>
      </c>
    </row>
    <row r="44" customFormat="false" ht="15" hidden="false" customHeight="false" outlineLevel="0" collapsed="false">
      <c r="A44" s="4" t="n">
        <v>6</v>
      </c>
      <c r="B44" s="5" t="n">
        <v>46325</v>
      </c>
      <c r="C44" s="5" t="n">
        <v>46331</v>
      </c>
      <c r="D44" s="4" t="s">
        <v>194</v>
      </c>
      <c r="E44" s="4" t="s">
        <v>80</v>
      </c>
      <c r="F44" s="4" t="s">
        <v>195</v>
      </c>
      <c r="G44" s="4" t="s">
        <v>28</v>
      </c>
      <c r="H44" s="4" t="s">
        <v>192</v>
      </c>
      <c r="I44" s="7" t="n">
        <v>12</v>
      </c>
      <c r="J44" s="4" t="s">
        <v>45</v>
      </c>
      <c r="K44" s="4" t="s">
        <v>196</v>
      </c>
      <c r="L44" s="4" t="s">
        <v>84</v>
      </c>
    </row>
    <row r="45" customFormat="false" ht="15" hidden="false" customHeight="false" outlineLevel="0" collapsed="false">
      <c r="A45" s="4" t="n">
        <v>6</v>
      </c>
      <c r="B45" s="5" t="n">
        <v>46325</v>
      </c>
      <c r="C45" s="5" t="n">
        <v>46331</v>
      </c>
      <c r="D45" s="4" t="s">
        <v>197</v>
      </c>
      <c r="E45" s="4" t="s">
        <v>86</v>
      </c>
      <c r="F45" s="4" t="s">
        <v>198</v>
      </c>
      <c r="G45" s="4" t="s">
        <v>30</v>
      </c>
      <c r="H45" s="4" t="s">
        <v>192</v>
      </c>
      <c r="I45" s="7" t="n">
        <v>10</v>
      </c>
      <c r="J45" s="4" t="s">
        <v>45</v>
      </c>
      <c r="K45" s="4" t="s">
        <v>199</v>
      </c>
      <c r="L45" s="4" t="s">
        <v>89</v>
      </c>
    </row>
    <row r="46" customFormat="false" ht="15" hidden="false" customHeight="false" outlineLevel="0" collapsed="false">
      <c r="A46" s="4" t="n">
        <v>6</v>
      </c>
      <c r="B46" s="5" t="n">
        <v>46325</v>
      </c>
      <c r="C46" s="5" t="n">
        <v>46331</v>
      </c>
      <c r="D46" s="4" t="s">
        <v>200</v>
      </c>
      <c r="E46" s="4" t="s">
        <v>110</v>
      </c>
      <c r="F46" s="4" t="s">
        <v>201</v>
      </c>
      <c r="G46" s="4" t="s">
        <v>22</v>
      </c>
      <c r="H46" s="4" t="s">
        <v>192</v>
      </c>
      <c r="I46" s="7" t="n">
        <v>5</v>
      </c>
      <c r="J46" s="4" t="s">
        <v>71</v>
      </c>
      <c r="K46" s="4" t="s">
        <v>202</v>
      </c>
      <c r="L46" s="4" t="s">
        <v>113</v>
      </c>
    </row>
    <row r="47" customFormat="false" ht="15" hidden="false" customHeight="false" outlineLevel="0" collapsed="false">
      <c r="A47" s="4" t="n">
        <v>6</v>
      </c>
      <c r="B47" s="5" t="n">
        <v>46325</v>
      </c>
      <c r="C47" s="5" t="n">
        <v>46331</v>
      </c>
      <c r="D47" s="4" t="s">
        <v>203</v>
      </c>
      <c r="E47" s="4" t="s">
        <v>69</v>
      </c>
      <c r="F47" s="4" t="s">
        <v>204</v>
      </c>
      <c r="G47" s="4" t="s">
        <v>24</v>
      </c>
      <c r="H47" s="4" t="s">
        <v>192</v>
      </c>
      <c r="I47" s="7" t="n">
        <v>5</v>
      </c>
      <c r="J47" s="4" t="s">
        <v>71</v>
      </c>
      <c r="K47" s="4" t="s">
        <v>182</v>
      </c>
      <c r="L47" s="4" t="s">
        <v>73</v>
      </c>
    </row>
    <row r="48" customFormat="false" ht="15" hidden="false" customHeight="false" outlineLevel="0" collapsed="false">
      <c r="A48" s="4" t="n">
        <v>6</v>
      </c>
      <c r="B48" s="5" t="n">
        <v>46325</v>
      </c>
      <c r="C48" s="5" t="n">
        <v>46331</v>
      </c>
      <c r="D48" s="4" t="s">
        <v>205</v>
      </c>
      <c r="E48" s="4" t="s">
        <v>63</v>
      </c>
      <c r="F48" s="4" t="s">
        <v>206</v>
      </c>
      <c r="G48" s="4" t="s">
        <v>24</v>
      </c>
      <c r="H48" s="4" t="s">
        <v>166</v>
      </c>
      <c r="I48" s="7" t="n">
        <v>6</v>
      </c>
      <c r="J48" s="4" t="s">
        <v>45</v>
      </c>
      <c r="K48" s="4" t="s">
        <v>207</v>
      </c>
      <c r="L48" s="4" t="s">
        <v>67</v>
      </c>
    </row>
    <row r="49" customFormat="false" ht="15" hidden="false" customHeight="false" outlineLevel="0" collapsed="false">
      <c r="A49" s="4" t="n">
        <v>7</v>
      </c>
      <c r="B49" s="5" t="n">
        <v>46332</v>
      </c>
      <c r="C49" s="5" t="n">
        <v>46338</v>
      </c>
      <c r="D49" s="4" t="s">
        <v>208</v>
      </c>
      <c r="E49" s="4" t="s">
        <v>52</v>
      </c>
      <c r="F49" s="4" t="s">
        <v>209</v>
      </c>
      <c r="G49" s="4" t="s">
        <v>20</v>
      </c>
      <c r="H49" s="4" t="s">
        <v>192</v>
      </c>
      <c r="I49" s="7" t="n">
        <v>6</v>
      </c>
      <c r="J49" s="4" t="s">
        <v>45</v>
      </c>
      <c r="K49" s="4" t="s">
        <v>210</v>
      </c>
      <c r="L49" s="4" t="s">
        <v>55</v>
      </c>
    </row>
    <row r="50" customFormat="false" ht="15" hidden="false" customHeight="false" outlineLevel="0" collapsed="false">
      <c r="A50" s="4" t="n">
        <v>7</v>
      </c>
      <c r="B50" s="5" t="n">
        <v>46332</v>
      </c>
      <c r="C50" s="5" t="n">
        <v>46338</v>
      </c>
      <c r="D50" s="4" t="s">
        <v>211</v>
      </c>
      <c r="E50" s="4" t="s">
        <v>75</v>
      </c>
      <c r="F50" s="4" t="s">
        <v>212</v>
      </c>
      <c r="G50" s="4" t="s">
        <v>26</v>
      </c>
      <c r="H50" s="4" t="s">
        <v>192</v>
      </c>
      <c r="I50" s="7" t="n">
        <v>8</v>
      </c>
      <c r="J50" s="4" t="s">
        <v>71</v>
      </c>
      <c r="K50" s="4" t="s">
        <v>213</v>
      </c>
      <c r="L50" s="4" t="s">
        <v>78</v>
      </c>
    </row>
    <row r="51" customFormat="false" ht="15" hidden="false" customHeight="false" outlineLevel="0" collapsed="false">
      <c r="A51" s="4" t="n">
        <v>7</v>
      </c>
      <c r="B51" s="5" t="n">
        <v>46332</v>
      </c>
      <c r="C51" s="5" t="n">
        <v>46338</v>
      </c>
      <c r="D51" s="4" t="s">
        <v>214</v>
      </c>
      <c r="E51" s="4" t="s">
        <v>80</v>
      </c>
      <c r="F51" s="4" t="s">
        <v>215</v>
      </c>
      <c r="G51" s="4" t="s">
        <v>28</v>
      </c>
      <c r="H51" s="4" t="s">
        <v>192</v>
      </c>
      <c r="I51" s="7" t="n">
        <v>12</v>
      </c>
      <c r="J51" s="4" t="s">
        <v>45</v>
      </c>
      <c r="K51" s="4" t="s">
        <v>216</v>
      </c>
      <c r="L51" s="4" t="s">
        <v>84</v>
      </c>
    </row>
    <row r="52" customFormat="false" ht="15" hidden="false" customHeight="false" outlineLevel="0" collapsed="false">
      <c r="A52" s="4" t="n">
        <v>7</v>
      </c>
      <c r="B52" s="5" t="n">
        <v>46332</v>
      </c>
      <c r="C52" s="5" t="n">
        <v>46338</v>
      </c>
      <c r="D52" s="4" t="s">
        <v>217</v>
      </c>
      <c r="E52" s="4" t="s">
        <v>86</v>
      </c>
      <c r="F52" s="4" t="s">
        <v>218</v>
      </c>
      <c r="G52" s="4" t="s">
        <v>30</v>
      </c>
      <c r="H52" s="4" t="s">
        <v>192</v>
      </c>
      <c r="I52" s="7" t="n">
        <v>8</v>
      </c>
      <c r="J52" s="4" t="s">
        <v>45</v>
      </c>
      <c r="K52" s="4" t="s">
        <v>219</v>
      </c>
      <c r="L52" s="4" t="s">
        <v>89</v>
      </c>
    </row>
    <row r="53" customFormat="false" ht="15" hidden="false" customHeight="false" outlineLevel="0" collapsed="false">
      <c r="A53" s="4" t="n">
        <v>7</v>
      </c>
      <c r="B53" s="5" t="n">
        <v>46332</v>
      </c>
      <c r="C53" s="5" t="n">
        <v>46338</v>
      </c>
      <c r="D53" s="4" t="s">
        <v>220</v>
      </c>
      <c r="E53" s="4" t="s">
        <v>110</v>
      </c>
      <c r="F53" s="4" t="s">
        <v>221</v>
      </c>
      <c r="G53" s="4" t="s">
        <v>22</v>
      </c>
      <c r="H53" s="4" t="s">
        <v>192</v>
      </c>
      <c r="I53" s="7" t="n">
        <v>6</v>
      </c>
      <c r="J53" s="4" t="s">
        <v>71</v>
      </c>
      <c r="K53" s="4" t="s">
        <v>222</v>
      </c>
      <c r="L53" s="4" t="s">
        <v>113</v>
      </c>
    </row>
    <row r="54" customFormat="false" ht="15" hidden="false" customHeight="false" outlineLevel="0" collapsed="false">
      <c r="A54" s="4" t="n">
        <v>7</v>
      </c>
      <c r="B54" s="5" t="n">
        <v>46332</v>
      </c>
      <c r="C54" s="5" t="n">
        <v>46338</v>
      </c>
      <c r="D54" s="4" t="s">
        <v>223</v>
      </c>
      <c r="E54" s="4" t="s">
        <v>69</v>
      </c>
      <c r="F54" s="4" t="s">
        <v>224</v>
      </c>
      <c r="G54" s="4" t="s">
        <v>24</v>
      </c>
      <c r="H54" s="4" t="s">
        <v>192</v>
      </c>
      <c r="I54" s="7" t="n">
        <v>6</v>
      </c>
      <c r="J54" s="4" t="s">
        <v>71</v>
      </c>
      <c r="K54" s="4" t="s">
        <v>225</v>
      </c>
      <c r="L54" s="4" t="s">
        <v>73</v>
      </c>
    </row>
    <row r="55" customFormat="false" ht="15" hidden="false" customHeight="false" outlineLevel="0" collapsed="false">
      <c r="A55" s="4" t="n">
        <v>7</v>
      </c>
      <c r="B55" s="5" t="n">
        <v>46332</v>
      </c>
      <c r="C55" s="5" t="n">
        <v>46338</v>
      </c>
      <c r="D55" s="4" t="s">
        <v>226</v>
      </c>
      <c r="E55" s="4" t="s">
        <v>63</v>
      </c>
      <c r="F55" s="4" t="s">
        <v>227</v>
      </c>
      <c r="G55" s="4" t="s">
        <v>24</v>
      </c>
      <c r="H55" s="4" t="s">
        <v>192</v>
      </c>
      <c r="I55" s="7" t="n">
        <v>6</v>
      </c>
      <c r="J55" s="4" t="s">
        <v>45</v>
      </c>
      <c r="K55" s="4" t="s">
        <v>228</v>
      </c>
      <c r="L55" s="4" t="s">
        <v>67</v>
      </c>
    </row>
    <row r="56" customFormat="false" ht="15" hidden="false" customHeight="false" outlineLevel="0" collapsed="false">
      <c r="A56" s="4" t="n">
        <v>7</v>
      </c>
      <c r="B56" s="5" t="n">
        <v>46332</v>
      </c>
      <c r="C56" s="5" t="n">
        <v>46338</v>
      </c>
      <c r="D56" s="4" t="s">
        <v>229</v>
      </c>
      <c r="E56" s="4" t="s">
        <v>42</v>
      </c>
      <c r="F56" s="4" t="s">
        <v>230</v>
      </c>
      <c r="G56" s="4" t="s">
        <v>22</v>
      </c>
      <c r="H56" s="4" t="s">
        <v>44</v>
      </c>
      <c r="I56" s="7" t="n">
        <v>2</v>
      </c>
      <c r="J56" s="4" t="s">
        <v>71</v>
      </c>
      <c r="K56" s="4" t="s">
        <v>231</v>
      </c>
      <c r="L56" s="4" t="s">
        <v>47</v>
      </c>
    </row>
    <row r="57" customFormat="false" ht="15" hidden="false" customHeight="false" outlineLevel="0" collapsed="false">
      <c r="A57" s="4" t="n">
        <v>8</v>
      </c>
      <c r="B57" s="5" t="n">
        <v>46339</v>
      </c>
      <c r="C57" s="5" t="n">
        <v>46345</v>
      </c>
      <c r="D57" s="4" t="s">
        <v>232</v>
      </c>
      <c r="E57" s="4" t="s">
        <v>52</v>
      </c>
      <c r="F57" s="4" t="s">
        <v>233</v>
      </c>
      <c r="G57" s="4" t="s">
        <v>20</v>
      </c>
      <c r="H57" s="4" t="s">
        <v>234</v>
      </c>
      <c r="I57" s="7" t="n">
        <v>12</v>
      </c>
      <c r="J57" s="4" t="s">
        <v>45</v>
      </c>
      <c r="K57" s="4" t="s">
        <v>235</v>
      </c>
      <c r="L57" s="4" t="s">
        <v>55</v>
      </c>
    </row>
    <row r="58" customFormat="false" ht="15" hidden="false" customHeight="false" outlineLevel="0" collapsed="false">
      <c r="A58" s="4" t="n">
        <v>8</v>
      </c>
      <c r="B58" s="5" t="n">
        <v>46339</v>
      </c>
      <c r="C58" s="5" t="n">
        <v>46345</v>
      </c>
      <c r="D58" s="4" t="s">
        <v>236</v>
      </c>
      <c r="E58" s="4" t="s">
        <v>75</v>
      </c>
      <c r="F58" s="4" t="s">
        <v>237</v>
      </c>
      <c r="G58" s="4" t="s">
        <v>26</v>
      </c>
      <c r="H58" s="4" t="s">
        <v>234</v>
      </c>
      <c r="I58" s="7" t="n">
        <v>8</v>
      </c>
      <c r="J58" s="4" t="s">
        <v>71</v>
      </c>
      <c r="K58" s="4" t="s">
        <v>238</v>
      </c>
      <c r="L58" s="4" t="s">
        <v>78</v>
      </c>
    </row>
    <row r="59" customFormat="false" ht="15" hidden="false" customHeight="false" outlineLevel="0" collapsed="false">
      <c r="A59" s="4" t="n">
        <v>8</v>
      </c>
      <c r="B59" s="5" t="n">
        <v>46339</v>
      </c>
      <c r="C59" s="5" t="n">
        <v>46345</v>
      </c>
      <c r="D59" s="4" t="s">
        <v>239</v>
      </c>
      <c r="E59" s="4" t="s">
        <v>80</v>
      </c>
      <c r="F59" s="4" t="s">
        <v>240</v>
      </c>
      <c r="G59" s="4" t="s">
        <v>28</v>
      </c>
      <c r="H59" s="4" t="s">
        <v>234</v>
      </c>
      <c r="I59" s="7" t="n">
        <v>14</v>
      </c>
      <c r="J59" s="4" t="s">
        <v>45</v>
      </c>
      <c r="K59" s="4" t="s">
        <v>241</v>
      </c>
      <c r="L59" s="4" t="s">
        <v>84</v>
      </c>
    </row>
    <row r="60" customFormat="false" ht="15" hidden="false" customHeight="false" outlineLevel="0" collapsed="false">
      <c r="A60" s="4" t="n">
        <v>8</v>
      </c>
      <c r="B60" s="5" t="n">
        <v>46339</v>
      </c>
      <c r="C60" s="5" t="n">
        <v>46345</v>
      </c>
      <c r="D60" s="4" t="s">
        <v>242</v>
      </c>
      <c r="E60" s="4" t="s">
        <v>86</v>
      </c>
      <c r="F60" s="4" t="s">
        <v>243</v>
      </c>
      <c r="G60" s="4" t="s">
        <v>30</v>
      </c>
      <c r="H60" s="4" t="s">
        <v>234</v>
      </c>
      <c r="I60" s="7" t="n">
        <v>10</v>
      </c>
      <c r="J60" s="4" t="s">
        <v>45</v>
      </c>
      <c r="K60" s="4" t="s">
        <v>244</v>
      </c>
      <c r="L60" s="4" t="s">
        <v>89</v>
      </c>
    </row>
    <row r="61" customFormat="false" ht="15" hidden="false" customHeight="false" outlineLevel="0" collapsed="false">
      <c r="A61" s="4" t="n">
        <v>8</v>
      </c>
      <c r="B61" s="5" t="n">
        <v>46339</v>
      </c>
      <c r="C61" s="5" t="n">
        <v>46345</v>
      </c>
      <c r="D61" s="4" t="s">
        <v>245</v>
      </c>
      <c r="E61" s="4" t="s">
        <v>110</v>
      </c>
      <c r="F61" s="4" t="s">
        <v>246</v>
      </c>
      <c r="G61" s="4" t="s">
        <v>22</v>
      </c>
      <c r="H61" s="4" t="s">
        <v>234</v>
      </c>
      <c r="I61" s="7" t="n">
        <v>6</v>
      </c>
      <c r="J61" s="4" t="s">
        <v>71</v>
      </c>
      <c r="K61" s="4" t="s">
        <v>247</v>
      </c>
      <c r="L61" s="4" t="s">
        <v>113</v>
      </c>
    </row>
    <row r="62" customFormat="false" ht="15" hidden="false" customHeight="false" outlineLevel="0" collapsed="false">
      <c r="A62" s="4" t="n">
        <v>8</v>
      </c>
      <c r="B62" s="5" t="n">
        <v>46339</v>
      </c>
      <c r="C62" s="5" t="n">
        <v>46345</v>
      </c>
      <c r="D62" s="4" t="s">
        <v>248</v>
      </c>
      <c r="E62" s="4" t="s">
        <v>69</v>
      </c>
      <c r="F62" s="4" t="s">
        <v>249</v>
      </c>
      <c r="G62" s="4" t="s">
        <v>24</v>
      </c>
      <c r="H62" s="4" t="s">
        <v>234</v>
      </c>
      <c r="I62" s="7" t="n">
        <v>8</v>
      </c>
      <c r="J62" s="4" t="s">
        <v>45</v>
      </c>
      <c r="K62" s="4" t="s">
        <v>250</v>
      </c>
      <c r="L62" s="4" t="s">
        <v>73</v>
      </c>
    </row>
    <row r="63" customFormat="false" ht="15" hidden="false" customHeight="false" outlineLevel="0" collapsed="false">
      <c r="A63" s="4" t="n">
        <v>8</v>
      </c>
      <c r="B63" s="5" t="n">
        <v>46339</v>
      </c>
      <c r="C63" s="5" t="n">
        <v>46345</v>
      </c>
      <c r="D63" s="4" t="s">
        <v>251</v>
      </c>
      <c r="E63" s="4" t="s">
        <v>63</v>
      </c>
      <c r="F63" s="4" t="s">
        <v>252</v>
      </c>
      <c r="G63" s="4" t="s">
        <v>24</v>
      </c>
      <c r="H63" s="4" t="s">
        <v>234</v>
      </c>
      <c r="I63" s="7" t="n">
        <v>5</v>
      </c>
      <c r="J63" s="4" t="s">
        <v>45</v>
      </c>
      <c r="K63" s="4" t="s">
        <v>253</v>
      </c>
      <c r="L63" s="4" t="s">
        <v>67</v>
      </c>
    </row>
    <row r="64" customFormat="false" ht="15" hidden="false" customHeight="false" outlineLevel="0" collapsed="false">
      <c r="A64" s="4" t="n">
        <v>9</v>
      </c>
      <c r="B64" s="5" t="n">
        <v>46346</v>
      </c>
      <c r="C64" s="5" t="n">
        <v>46352</v>
      </c>
      <c r="D64" s="4" t="s">
        <v>254</v>
      </c>
      <c r="E64" s="4" t="s">
        <v>52</v>
      </c>
      <c r="F64" s="4" t="s">
        <v>255</v>
      </c>
      <c r="G64" s="4" t="s">
        <v>20</v>
      </c>
      <c r="H64" s="4" t="s">
        <v>234</v>
      </c>
      <c r="I64" s="7" t="n">
        <v>8</v>
      </c>
      <c r="J64" s="4" t="s">
        <v>45</v>
      </c>
      <c r="K64" s="4" t="s">
        <v>256</v>
      </c>
      <c r="L64" s="4" t="s">
        <v>55</v>
      </c>
    </row>
    <row r="65" customFormat="false" ht="15" hidden="false" customHeight="false" outlineLevel="0" collapsed="false">
      <c r="A65" s="4" t="n">
        <v>9</v>
      </c>
      <c r="B65" s="5" t="n">
        <v>46346</v>
      </c>
      <c r="C65" s="5" t="n">
        <v>46352</v>
      </c>
      <c r="D65" s="4" t="s">
        <v>257</v>
      </c>
      <c r="E65" s="4" t="s">
        <v>75</v>
      </c>
      <c r="F65" s="4" t="s">
        <v>258</v>
      </c>
      <c r="G65" s="4" t="s">
        <v>26</v>
      </c>
      <c r="H65" s="4" t="s">
        <v>234</v>
      </c>
      <c r="I65" s="7" t="n">
        <v>8</v>
      </c>
      <c r="J65" s="4" t="s">
        <v>71</v>
      </c>
      <c r="K65" s="4" t="s">
        <v>259</v>
      </c>
      <c r="L65" s="4" t="s">
        <v>78</v>
      </c>
    </row>
    <row r="66" customFormat="false" ht="15" hidden="false" customHeight="false" outlineLevel="0" collapsed="false">
      <c r="A66" s="4" t="n">
        <v>9</v>
      </c>
      <c r="B66" s="5" t="n">
        <v>46346</v>
      </c>
      <c r="C66" s="5" t="n">
        <v>46352</v>
      </c>
      <c r="D66" s="4" t="s">
        <v>260</v>
      </c>
      <c r="E66" s="4" t="s">
        <v>80</v>
      </c>
      <c r="F66" s="4" t="s">
        <v>261</v>
      </c>
      <c r="G66" s="4" t="s">
        <v>28</v>
      </c>
      <c r="H66" s="4" t="s">
        <v>65</v>
      </c>
      <c r="I66" s="7" t="n">
        <v>10</v>
      </c>
      <c r="J66" s="4" t="s">
        <v>71</v>
      </c>
      <c r="K66" s="4" t="s">
        <v>262</v>
      </c>
      <c r="L66" s="4" t="s">
        <v>84</v>
      </c>
    </row>
    <row r="67" customFormat="false" ht="15" hidden="false" customHeight="false" outlineLevel="0" collapsed="false">
      <c r="A67" s="4" t="n">
        <v>9</v>
      </c>
      <c r="B67" s="5" t="n">
        <v>46346</v>
      </c>
      <c r="C67" s="5" t="n">
        <v>46352</v>
      </c>
      <c r="D67" s="4" t="s">
        <v>263</v>
      </c>
      <c r="E67" s="4" t="s">
        <v>86</v>
      </c>
      <c r="F67" s="4" t="s">
        <v>264</v>
      </c>
      <c r="G67" s="4" t="s">
        <v>30</v>
      </c>
      <c r="H67" s="4" t="s">
        <v>65</v>
      </c>
      <c r="I67" s="7" t="n">
        <v>10</v>
      </c>
      <c r="J67" s="4" t="s">
        <v>45</v>
      </c>
      <c r="K67" s="4" t="s">
        <v>265</v>
      </c>
      <c r="L67" s="4" t="s">
        <v>89</v>
      </c>
    </row>
    <row r="68" customFormat="false" ht="15" hidden="false" customHeight="false" outlineLevel="0" collapsed="false">
      <c r="A68" s="4" t="n">
        <v>9</v>
      </c>
      <c r="B68" s="5" t="n">
        <v>46346</v>
      </c>
      <c r="C68" s="5" t="n">
        <v>46352</v>
      </c>
      <c r="D68" s="4" t="s">
        <v>266</v>
      </c>
      <c r="E68" s="4" t="s">
        <v>110</v>
      </c>
      <c r="F68" s="4" t="s">
        <v>267</v>
      </c>
      <c r="G68" s="4" t="s">
        <v>22</v>
      </c>
      <c r="H68" s="4" t="s">
        <v>65</v>
      </c>
      <c r="I68" s="7" t="n">
        <v>8</v>
      </c>
      <c r="J68" s="4" t="s">
        <v>71</v>
      </c>
      <c r="K68" s="4" t="s">
        <v>268</v>
      </c>
      <c r="L68" s="4" t="s">
        <v>113</v>
      </c>
    </row>
    <row r="69" customFormat="false" ht="15" hidden="false" customHeight="false" outlineLevel="0" collapsed="false">
      <c r="A69" s="4" t="n">
        <v>9</v>
      </c>
      <c r="B69" s="5" t="n">
        <v>46346</v>
      </c>
      <c r="C69" s="5" t="n">
        <v>46352</v>
      </c>
      <c r="D69" s="4" t="s">
        <v>269</v>
      </c>
      <c r="E69" s="4" t="s">
        <v>69</v>
      </c>
      <c r="F69" s="4" t="s">
        <v>270</v>
      </c>
      <c r="G69" s="4" t="s">
        <v>24</v>
      </c>
      <c r="H69" s="4" t="s">
        <v>65</v>
      </c>
      <c r="I69" s="7" t="n">
        <v>8</v>
      </c>
      <c r="J69" s="4" t="s">
        <v>45</v>
      </c>
      <c r="K69" s="4" t="s">
        <v>271</v>
      </c>
      <c r="L69" s="4" t="s">
        <v>73</v>
      </c>
    </row>
    <row r="70" customFormat="false" ht="15" hidden="false" customHeight="false" outlineLevel="0" collapsed="false">
      <c r="A70" s="4" t="n">
        <v>9</v>
      </c>
      <c r="B70" s="5" t="n">
        <v>46346</v>
      </c>
      <c r="C70" s="5" t="n">
        <v>46352</v>
      </c>
      <c r="D70" s="4" t="s">
        <v>272</v>
      </c>
      <c r="E70" s="4" t="s">
        <v>63</v>
      </c>
      <c r="F70" s="4" t="s">
        <v>273</v>
      </c>
      <c r="G70" s="4" t="s">
        <v>24</v>
      </c>
      <c r="H70" s="4" t="s">
        <v>65</v>
      </c>
      <c r="I70" s="7" t="n">
        <v>8</v>
      </c>
      <c r="J70" s="4" t="s">
        <v>45</v>
      </c>
      <c r="K70" s="4" t="s">
        <v>274</v>
      </c>
      <c r="L70" s="4" t="s">
        <v>67</v>
      </c>
    </row>
    <row r="71" customFormat="false" ht="15" hidden="false" customHeight="false" outlineLevel="0" collapsed="false">
      <c r="A71" s="4" t="n">
        <v>10</v>
      </c>
      <c r="B71" s="5" t="n">
        <v>46353</v>
      </c>
      <c r="C71" s="5" t="n">
        <v>46360</v>
      </c>
      <c r="D71" s="4" t="s">
        <v>275</v>
      </c>
      <c r="E71" s="4" t="s">
        <v>52</v>
      </c>
      <c r="F71" s="4" t="s">
        <v>276</v>
      </c>
      <c r="G71" s="4" t="s">
        <v>20</v>
      </c>
      <c r="H71" s="4" t="s">
        <v>65</v>
      </c>
      <c r="I71" s="7" t="n">
        <v>10</v>
      </c>
      <c r="J71" s="4" t="s">
        <v>45</v>
      </c>
      <c r="K71" s="4" t="s">
        <v>277</v>
      </c>
      <c r="L71" s="4" t="s">
        <v>55</v>
      </c>
    </row>
    <row r="72" customFormat="false" ht="15" hidden="false" customHeight="false" outlineLevel="0" collapsed="false">
      <c r="A72" s="4" t="n">
        <v>10</v>
      </c>
      <c r="B72" s="5" t="n">
        <v>46353</v>
      </c>
      <c r="C72" s="5" t="n">
        <v>46360</v>
      </c>
      <c r="D72" s="4" t="s">
        <v>278</v>
      </c>
      <c r="E72" s="4" t="s">
        <v>75</v>
      </c>
      <c r="F72" s="4" t="s">
        <v>279</v>
      </c>
      <c r="G72" s="4" t="s">
        <v>26</v>
      </c>
      <c r="H72" s="4" t="s">
        <v>65</v>
      </c>
      <c r="I72" s="7" t="n">
        <v>6</v>
      </c>
      <c r="J72" s="4" t="s">
        <v>45</v>
      </c>
      <c r="K72" s="4" t="s">
        <v>280</v>
      </c>
      <c r="L72" s="4" t="s">
        <v>78</v>
      </c>
    </row>
    <row r="73" customFormat="false" ht="15" hidden="false" customHeight="false" outlineLevel="0" collapsed="false">
      <c r="A73" s="4" t="n">
        <v>10</v>
      </c>
      <c r="B73" s="5" t="n">
        <v>46353</v>
      </c>
      <c r="C73" s="5" t="n">
        <v>46360</v>
      </c>
      <c r="D73" s="4" t="s">
        <v>281</v>
      </c>
      <c r="E73" s="4" t="s">
        <v>80</v>
      </c>
      <c r="F73" s="4" t="s">
        <v>282</v>
      </c>
      <c r="G73" s="4" t="s">
        <v>28</v>
      </c>
      <c r="H73" s="4" t="s">
        <v>65</v>
      </c>
      <c r="I73" s="7" t="n">
        <v>6</v>
      </c>
      <c r="J73" s="4" t="s">
        <v>45</v>
      </c>
      <c r="K73" s="4" t="s">
        <v>283</v>
      </c>
      <c r="L73" s="4" t="s">
        <v>84</v>
      </c>
    </row>
    <row r="74" customFormat="false" ht="15" hidden="false" customHeight="false" outlineLevel="0" collapsed="false">
      <c r="A74" s="4" t="n">
        <v>10</v>
      </c>
      <c r="B74" s="5" t="n">
        <v>46353</v>
      </c>
      <c r="C74" s="5" t="n">
        <v>46360</v>
      </c>
      <c r="D74" s="4" t="s">
        <v>284</v>
      </c>
      <c r="E74" s="4" t="s">
        <v>86</v>
      </c>
      <c r="F74" s="4" t="s">
        <v>285</v>
      </c>
      <c r="G74" s="4" t="s">
        <v>30</v>
      </c>
      <c r="H74" s="4" t="s">
        <v>65</v>
      </c>
      <c r="I74" s="7" t="n">
        <v>6</v>
      </c>
      <c r="J74" s="4" t="s">
        <v>71</v>
      </c>
      <c r="K74" s="4" t="s">
        <v>286</v>
      </c>
      <c r="L74" s="4" t="s">
        <v>89</v>
      </c>
    </row>
    <row r="75" customFormat="false" ht="15" hidden="false" customHeight="false" outlineLevel="0" collapsed="false">
      <c r="A75" s="4" t="n">
        <v>10</v>
      </c>
      <c r="B75" s="5" t="n">
        <v>46353</v>
      </c>
      <c r="C75" s="5" t="n">
        <v>46360</v>
      </c>
      <c r="D75" s="4" t="s">
        <v>287</v>
      </c>
      <c r="E75" s="4" t="s">
        <v>42</v>
      </c>
      <c r="F75" s="4" t="s">
        <v>288</v>
      </c>
      <c r="G75" s="4" t="s">
        <v>22</v>
      </c>
      <c r="H75" s="4" t="s">
        <v>44</v>
      </c>
      <c r="I75" s="7" t="n">
        <v>6</v>
      </c>
      <c r="J75" s="4" t="s">
        <v>45</v>
      </c>
      <c r="K75" s="4" t="s">
        <v>289</v>
      </c>
      <c r="L75" s="4" t="s">
        <v>47</v>
      </c>
    </row>
    <row r="76" customFormat="false" ht="15" hidden="false" customHeight="false" outlineLevel="0" collapsed="false">
      <c r="A76" s="4" t="n">
        <v>10</v>
      </c>
      <c r="B76" s="5" t="n">
        <v>46353</v>
      </c>
      <c r="C76" s="5" t="n">
        <v>46360</v>
      </c>
      <c r="D76" s="4" t="s">
        <v>290</v>
      </c>
      <c r="E76" s="4" t="s">
        <v>69</v>
      </c>
      <c r="F76" s="4" t="s">
        <v>291</v>
      </c>
      <c r="G76" s="4" t="s">
        <v>24</v>
      </c>
      <c r="H76" s="4" t="s">
        <v>44</v>
      </c>
      <c r="I76" s="7" t="n">
        <v>4</v>
      </c>
      <c r="J76" s="4" t="s">
        <v>71</v>
      </c>
      <c r="K76" s="4" t="s">
        <v>292</v>
      </c>
      <c r="L76" s="4" t="s">
        <v>73</v>
      </c>
    </row>
    <row r="77" customFormat="false" ht="15" hidden="false" customHeight="false" outlineLevel="0" collapsed="false">
      <c r="A77" s="4" t="n">
        <v>10</v>
      </c>
      <c r="B77" s="5" t="n">
        <v>46353</v>
      </c>
      <c r="C77" s="5" t="n">
        <v>46360</v>
      </c>
      <c r="D77" s="4" t="s">
        <v>293</v>
      </c>
      <c r="E77" s="4" t="s">
        <v>63</v>
      </c>
      <c r="F77" s="4" t="s">
        <v>294</v>
      </c>
      <c r="G77" s="4" t="s">
        <v>24</v>
      </c>
      <c r="H77" s="4" t="s">
        <v>65</v>
      </c>
      <c r="I77" s="7" t="n">
        <v>10</v>
      </c>
      <c r="J77" s="4" t="s">
        <v>45</v>
      </c>
      <c r="K77" s="4" t="s">
        <v>295</v>
      </c>
      <c r="L77" s="4" t="s">
        <v>67</v>
      </c>
    </row>
  </sheetData>
  <autoFilter ref="A1:L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13" min="3" style="0" width="8"/>
  </cols>
  <sheetData>
    <row r="1" customFormat="false" ht="15" hidden="false" customHeight="false" outlineLevel="0" collapsed="false">
      <c r="A1" s="8" t="s">
        <v>296</v>
      </c>
    </row>
    <row r="2" customFormat="false" ht="15" hidden="false" customHeight="false" outlineLevel="0" collapsed="false">
      <c r="A2" s="9" t="s">
        <v>297</v>
      </c>
    </row>
    <row r="4" customFormat="false" ht="26.85" hidden="false" customHeight="false" outlineLevel="0" collapsed="false">
      <c r="A4" s="3" t="s">
        <v>35</v>
      </c>
      <c r="B4" s="3" t="s">
        <v>298</v>
      </c>
      <c r="C4" s="3" t="s">
        <v>299</v>
      </c>
      <c r="D4" s="3" t="s">
        <v>300</v>
      </c>
      <c r="E4" s="3" t="s">
        <v>301</v>
      </c>
      <c r="F4" s="3" t="s">
        <v>302</v>
      </c>
      <c r="G4" s="3" t="s">
        <v>303</v>
      </c>
      <c r="H4" s="3" t="s">
        <v>304</v>
      </c>
      <c r="I4" s="3" t="s">
        <v>305</v>
      </c>
      <c r="J4" s="3" t="s">
        <v>306</v>
      </c>
      <c r="K4" s="3" t="s">
        <v>307</v>
      </c>
      <c r="L4" s="3" t="s">
        <v>308</v>
      </c>
      <c r="M4" s="3" t="s">
        <v>18</v>
      </c>
    </row>
    <row r="5" customFormat="false" ht="15" hidden="false" customHeight="false" outlineLevel="0" collapsed="false">
      <c r="A5" s="4" t="s">
        <v>20</v>
      </c>
      <c r="B5" s="7" t="n">
        <v>12</v>
      </c>
      <c r="C5" s="10" t="n">
        <f aca="false">SUMIFS(Backlog!$I:$I,Backlog!$G:$G,$A5,Backlog!$A:$A,1)</f>
        <v>11</v>
      </c>
      <c r="D5" s="10" t="n">
        <f aca="false">SUMIFS(Backlog!$I:$I,Backlog!$G:$G,$A5,Backlog!$A:$A,2)</f>
        <v>10</v>
      </c>
      <c r="E5" s="10" t="n">
        <f aca="false">SUMIFS(Backlog!$I:$I,Backlog!$G:$G,$A5,Backlog!$A:$A,3)</f>
        <v>6</v>
      </c>
      <c r="F5" s="10" t="n">
        <f aca="false">SUMIFS(Backlog!$I:$I,Backlog!$G:$G,$A5,Backlog!$A:$A,4)</f>
        <v>8</v>
      </c>
      <c r="G5" s="10" t="n">
        <f aca="false">SUMIFS(Backlog!$I:$I,Backlog!$G:$G,$A5,Backlog!$A:$A,5)</f>
        <v>10</v>
      </c>
      <c r="H5" s="10" t="n">
        <f aca="false">SUMIFS(Backlog!$I:$I,Backlog!$G:$G,$A5,Backlog!$A:$A,6)</f>
        <v>8</v>
      </c>
      <c r="I5" s="10" t="n">
        <f aca="false">SUMIFS(Backlog!$I:$I,Backlog!$G:$G,$A5,Backlog!$A:$A,7)</f>
        <v>6</v>
      </c>
      <c r="J5" s="10" t="n">
        <f aca="false">SUMIFS(Backlog!$I:$I,Backlog!$G:$G,$A5,Backlog!$A:$A,8)</f>
        <v>12</v>
      </c>
      <c r="K5" s="10" t="n">
        <f aca="false">SUMIFS(Backlog!$I:$I,Backlog!$G:$G,$A5,Backlog!$A:$A,9)</f>
        <v>8</v>
      </c>
      <c r="L5" s="10" t="n">
        <f aca="false">SUMIFS(Backlog!$I:$I,Backlog!$G:$G,$A5,Backlog!$A:$A,10)</f>
        <v>10</v>
      </c>
      <c r="M5" s="4" t="n">
        <f aca="false">SUM(C5:L5)</f>
        <v>89</v>
      </c>
    </row>
    <row r="6" customFormat="false" ht="15" hidden="false" customHeight="false" outlineLevel="0" collapsed="false">
      <c r="A6" s="4" t="s">
        <v>22</v>
      </c>
      <c r="B6" s="7" t="n">
        <v>8</v>
      </c>
      <c r="C6" s="10" t="n">
        <f aca="false">SUMIFS(Backlog!$I:$I,Backlog!$G:$G,$A6,Backlog!$A:$A,1)</f>
        <v>7</v>
      </c>
      <c r="D6" s="10" t="n">
        <f aca="false">SUMIFS(Backlog!$I:$I,Backlog!$G:$G,$A6,Backlog!$A:$A,2)</f>
        <v>6</v>
      </c>
      <c r="E6" s="10" t="n">
        <f aca="false">SUMIFS(Backlog!$I:$I,Backlog!$G:$G,$A6,Backlog!$A:$A,3)</f>
        <v>5</v>
      </c>
      <c r="F6" s="10" t="n">
        <f aca="false">SUMIFS(Backlog!$I:$I,Backlog!$G:$G,$A6,Backlog!$A:$A,4)</f>
        <v>5</v>
      </c>
      <c r="G6" s="10" t="n">
        <f aca="false">SUMIFS(Backlog!$I:$I,Backlog!$G:$G,$A6,Backlog!$A:$A,5)</f>
        <v>5</v>
      </c>
      <c r="H6" s="10" t="n">
        <f aca="false">SUMIFS(Backlog!$I:$I,Backlog!$G:$G,$A6,Backlog!$A:$A,6)</f>
        <v>5</v>
      </c>
      <c r="I6" s="10" t="n">
        <f aca="false">SUMIFS(Backlog!$I:$I,Backlog!$G:$G,$A6,Backlog!$A:$A,7)</f>
        <v>8</v>
      </c>
      <c r="J6" s="10" t="n">
        <f aca="false">SUMIFS(Backlog!$I:$I,Backlog!$G:$G,$A6,Backlog!$A:$A,8)</f>
        <v>6</v>
      </c>
      <c r="K6" s="10" t="n">
        <f aca="false">SUMIFS(Backlog!$I:$I,Backlog!$G:$G,$A6,Backlog!$A:$A,9)</f>
        <v>8</v>
      </c>
      <c r="L6" s="10" t="n">
        <f aca="false">SUMIFS(Backlog!$I:$I,Backlog!$G:$G,$A6,Backlog!$A:$A,10)</f>
        <v>6</v>
      </c>
      <c r="M6" s="4" t="n">
        <f aca="false">SUM(C6:L6)</f>
        <v>61</v>
      </c>
    </row>
    <row r="7" customFormat="false" ht="15" hidden="false" customHeight="false" outlineLevel="0" collapsed="false">
      <c r="A7" s="4" t="s">
        <v>24</v>
      </c>
      <c r="B7" s="7" t="n">
        <v>12</v>
      </c>
      <c r="C7" s="10" t="n">
        <f aca="false">SUMIFS(Backlog!$I:$I,Backlog!$G:$G,$A7,Backlog!$A:$A,1)</f>
        <v>10</v>
      </c>
      <c r="D7" s="10" t="n">
        <f aca="false">SUMIFS(Backlog!$I:$I,Backlog!$G:$G,$A7,Backlog!$A:$A,2)</f>
        <v>10</v>
      </c>
      <c r="E7" s="10" t="n">
        <f aca="false">SUMIFS(Backlog!$I:$I,Backlog!$G:$G,$A7,Backlog!$A:$A,3)</f>
        <v>10</v>
      </c>
      <c r="F7" s="10" t="n">
        <f aca="false">SUMIFS(Backlog!$I:$I,Backlog!$G:$G,$A7,Backlog!$A:$A,4)</f>
        <v>11</v>
      </c>
      <c r="G7" s="10" t="n">
        <f aca="false">SUMIFS(Backlog!$I:$I,Backlog!$G:$G,$A7,Backlog!$A:$A,5)</f>
        <v>12</v>
      </c>
      <c r="H7" s="10" t="n">
        <f aca="false">SUMIFS(Backlog!$I:$I,Backlog!$G:$G,$A7,Backlog!$A:$A,6)</f>
        <v>11</v>
      </c>
      <c r="I7" s="10" t="n">
        <f aca="false">SUMIFS(Backlog!$I:$I,Backlog!$G:$G,$A7,Backlog!$A:$A,7)</f>
        <v>12</v>
      </c>
      <c r="J7" s="10" t="n">
        <f aca="false">SUMIFS(Backlog!$I:$I,Backlog!$G:$G,$A7,Backlog!$A:$A,8)</f>
        <v>13</v>
      </c>
      <c r="K7" s="10" t="n">
        <f aca="false">SUMIFS(Backlog!$I:$I,Backlog!$G:$G,$A7,Backlog!$A:$A,9)</f>
        <v>16</v>
      </c>
      <c r="L7" s="10" t="n">
        <f aca="false">SUMIFS(Backlog!$I:$I,Backlog!$G:$G,$A7,Backlog!$A:$A,10)</f>
        <v>14</v>
      </c>
      <c r="M7" s="4" t="n">
        <f aca="false">SUM(C7:L7)</f>
        <v>119</v>
      </c>
    </row>
    <row r="8" customFormat="false" ht="15" hidden="false" customHeight="false" outlineLevel="0" collapsed="false">
      <c r="A8" s="4" t="s">
        <v>26</v>
      </c>
      <c r="B8" s="7" t="n">
        <v>10</v>
      </c>
      <c r="C8" s="10" t="n">
        <f aca="false">SUMIFS(Backlog!$I:$I,Backlog!$G:$G,$A8,Backlog!$A:$A,1)</f>
        <v>6</v>
      </c>
      <c r="D8" s="10" t="n">
        <f aca="false">SUMIFS(Backlog!$I:$I,Backlog!$G:$G,$A8,Backlog!$A:$A,2)</f>
        <v>12</v>
      </c>
      <c r="E8" s="10" t="n">
        <f aca="false">SUMIFS(Backlog!$I:$I,Backlog!$G:$G,$A8,Backlog!$A:$A,3)</f>
        <v>10</v>
      </c>
      <c r="F8" s="10" t="n">
        <f aca="false">SUMIFS(Backlog!$I:$I,Backlog!$G:$G,$A8,Backlog!$A:$A,4)</f>
        <v>8</v>
      </c>
      <c r="G8" s="10" t="n">
        <f aca="false">SUMIFS(Backlog!$I:$I,Backlog!$G:$G,$A8,Backlog!$A:$A,5)</f>
        <v>10</v>
      </c>
      <c r="H8" s="10" t="n">
        <f aca="false">SUMIFS(Backlog!$I:$I,Backlog!$G:$G,$A8,Backlog!$A:$A,6)</f>
        <v>10</v>
      </c>
      <c r="I8" s="10" t="n">
        <f aca="false">SUMIFS(Backlog!$I:$I,Backlog!$G:$G,$A8,Backlog!$A:$A,7)</f>
        <v>8</v>
      </c>
      <c r="J8" s="10" t="n">
        <f aca="false">SUMIFS(Backlog!$I:$I,Backlog!$G:$G,$A8,Backlog!$A:$A,8)</f>
        <v>8</v>
      </c>
      <c r="K8" s="10" t="n">
        <f aca="false">SUMIFS(Backlog!$I:$I,Backlog!$G:$G,$A8,Backlog!$A:$A,9)</f>
        <v>8</v>
      </c>
      <c r="L8" s="10" t="n">
        <f aca="false">SUMIFS(Backlog!$I:$I,Backlog!$G:$G,$A8,Backlog!$A:$A,10)</f>
        <v>6</v>
      </c>
      <c r="M8" s="4" t="n">
        <f aca="false">SUM(C8:L8)</f>
        <v>86</v>
      </c>
    </row>
    <row r="9" customFormat="false" ht="15" hidden="false" customHeight="false" outlineLevel="0" collapsed="false">
      <c r="A9" s="4" t="s">
        <v>28</v>
      </c>
      <c r="B9" s="7" t="n">
        <v>10</v>
      </c>
      <c r="C9" s="10" t="n">
        <f aca="false">SUMIFS(Backlog!$I:$I,Backlog!$G:$G,$A9,Backlog!$A:$A,1)</f>
        <v>6</v>
      </c>
      <c r="D9" s="10" t="n">
        <f aca="false">SUMIFS(Backlog!$I:$I,Backlog!$G:$G,$A9,Backlog!$A:$A,2)</f>
        <v>8</v>
      </c>
      <c r="E9" s="10" t="n">
        <f aca="false">SUMIFS(Backlog!$I:$I,Backlog!$G:$G,$A9,Backlog!$A:$A,3)</f>
        <v>10</v>
      </c>
      <c r="F9" s="10" t="n">
        <f aca="false">SUMIFS(Backlog!$I:$I,Backlog!$G:$G,$A9,Backlog!$A:$A,4)</f>
        <v>8</v>
      </c>
      <c r="G9" s="10" t="n">
        <f aca="false">SUMIFS(Backlog!$I:$I,Backlog!$G:$G,$A9,Backlog!$A:$A,5)</f>
        <v>8</v>
      </c>
      <c r="H9" s="10" t="n">
        <f aca="false">SUMIFS(Backlog!$I:$I,Backlog!$G:$G,$A9,Backlog!$A:$A,6)</f>
        <v>12</v>
      </c>
      <c r="I9" s="10" t="n">
        <f aca="false">SUMIFS(Backlog!$I:$I,Backlog!$G:$G,$A9,Backlog!$A:$A,7)</f>
        <v>12</v>
      </c>
      <c r="J9" s="10" t="n">
        <f aca="false">SUMIFS(Backlog!$I:$I,Backlog!$G:$G,$A9,Backlog!$A:$A,8)</f>
        <v>14</v>
      </c>
      <c r="K9" s="10" t="n">
        <f aca="false">SUMIFS(Backlog!$I:$I,Backlog!$G:$G,$A9,Backlog!$A:$A,9)</f>
        <v>10</v>
      </c>
      <c r="L9" s="10" t="n">
        <f aca="false">SUMIFS(Backlog!$I:$I,Backlog!$G:$G,$A9,Backlog!$A:$A,10)</f>
        <v>6</v>
      </c>
      <c r="M9" s="4" t="n">
        <f aca="false">SUM(C9:L9)</f>
        <v>94</v>
      </c>
    </row>
    <row r="10" customFormat="false" ht="15" hidden="false" customHeight="false" outlineLevel="0" collapsed="false">
      <c r="A10" s="4" t="s">
        <v>30</v>
      </c>
      <c r="B10" s="7" t="n">
        <v>10</v>
      </c>
      <c r="C10" s="10" t="n">
        <f aca="false">SUMIFS(Backlog!$I:$I,Backlog!$G:$G,$A10,Backlog!$A:$A,1)</f>
        <v>6</v>
      </c>
      <c r="D10" s="10" t="n">
        <f aca="false">SUMIFS(Backlog!$I:$I,Backlog!$G:$G,$A10,Backlog!$A:$A,2)</f>
        <v>8</v>
      </c>
      <c r="E10" s="10" t="n">
        <f aca="false">SUMIFS(Backlog!$I:$I,Backlog!$G:$G,$A10,Backlog!$A:$A,3)</f>
        <v>10</v>
      </c>
      <c r="F10" s="10" t="n">
        <f aca="false">SUMIFS(Backlog!$I:$I,Backlog!$G:$G,$A10,Backlog!$A:$A,4)</f>
        <v>10</v>
      </c>
      <c r="G10" s="10" t="n">
        <f aca="false">SUMIFS(Backlog!$I:$I,Backlog!$G:$G,$A10,Backlog!$A:$A,5)</f>
        <v>10</v>
      </c>
      <c r="H10" s="10" t="n">
        <f aca="false">SUMIFS(Backlog!$I:$I,Backlog!$G:$G,$A10,Backlog!$A:$A,6)</f>
        <v>10</v>
      </c>
      <c r="I10" s="10" t="n">
        <f aca="false">SUMIFS(Backlog!$I:$I,Backlog!$G:$G,$A10,Backlog!$A:$A,7)</f>
        <v>8</v>
      </c>
      <c r="J10" s="10" t="n">
        <f aca="false">SUMIFS(Backlog!$I:$I,Backlog!$G:$G,$A10,Backlog!$A:$A,8)</f>
        <v>10</v>
      </c>
      <c r="K10" s="10" t="n">
        <f aca="false">SUMIFS(Backlog!$I:$I,Backlog!$G:$G,$A10,Backlog!$A:$A,9)</f>
        <v>10</v>
      </c>
      <c r="L10" s="10" t="n">
        <f aca="false">SUMIFS(Backlog!$I:$I,Backlog!$G:$G,$A10,Backlog!$A:$A,10)</f>
        <v>6</v>
      </c>
      <c r="M10" s="4" t="n">
        <f aca="false">SUM(C10:L10)</f>
        <v>88</v>
      </c>
    </row>
    <row r="12" customFormat="false" ht="15" hidden="false" customHeight="false" outlineLevel="0" collapsed="false">
      <c r="A12" s="9" t="s">
        <v>309</v>
      </c>
    </row>
  </sheetData>
  <conditionalFormatting sqref="C5:L5">
    <cfRule type="cellIs" priority="2" operator="greaterThan" aboveAverage="0" equalAverage="0" bottom="0" percent="0" rank="0" text="" dxfId="5">
      <formula>$B$5</formula>
    </cfRule>
  </conditionalFormatting>
  <conditionalFormatting sqref="C6:L6">
    <cfRule type="cellIs" priority="3" operator="greaterThan" aboveAverage="0" equalAverage="0" bottom="0" percent="0" rank="0" text="" dxfId="5">
      <formula>$B$6</formula>
    </cfRule>
  </conditionalFormatting>
  <conditionalFormatting sqref="C7:L7">
    <cfRule type="cellIs" priority="4" operator="greaterThan" aboveAverage="0" equalAverage="0" bottom="0" percent="0" rank="0" text="" dxfId="5">
      <formula>$B$7</formula>
    </cfRule>
  </conditionalFormatting>
  <conditionalFormatting sqref="C8:L8">
    <cfRule type="cellIs" priority="5" operator="greaterThan" aboveAverage="0" equalAverage="0" bottom="0" percent="0" rank="0" text="" dxfId="5">
      <formula>$B$8</formula>
    </cfRule>
  </conditionalFormatting>
  <conditionalFormatting sqref="C9:L9">
    <cfRule type="cellIs" priority="6" operator="greaterThan" aboveAverage="0" equalAverage="0" bottom="0" percent="0" rank="0" text="" dxfId="5">
      <formula>$B$9</formula>
    </cfRule>
  </conditionalFormatting>
  <conditionalFormatting sqref="C10:L10">
    <cfRule type="cellIs" priority="7" operator="greaterThan" aboveAverage="0" equalAverage="0" bottom="0" percent="0" rank="0" text="" dxfId="5">
      <formula>$B$10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2026-09-29T02:40:44Z</dcterms:created>
  <dc:creator>openpyxl</dc:creator>
  <dc:description/>
  <dc:language>en-US</dc:language>
  <cp:lastModifiedBy/>
  <dcterms:modified xsi:type="dcterms:W3CDTF">2026-09-29T02:40:44Z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